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iollemos\Downloads\"/>
    </mc:Choice>
  </mc:AlternateContent>
  <xr:revisionPtr revIDLastSave="0" documentId="8_{51A1D0FB-B5B3-4DB9-8A99-3772712F57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ias" sheetId="2" r:id="rId1"/>
    <sheet name="Matrizes" sheetId="1" r:id="rId2"/>
    <sheet name="Desempenho" sheetId="3" r:id="rId3"/>
    <sheet name="Compradores" sheetId="5" r:id="rId4"/>
    <sheet name="Plan1" sheetId="4" r:id="rId5"/>
  </sheets>
  <definedNames>
    <definedName name="_xlnm._FilterDatabase" localSheetId="0" hidden="1">Crias!$A$4:$S$1013</definedName>
    <definedName name="_xlnm._FilterDatabase" localSheetId="2" hidden="1">Desempenho!$B$3:$N$150</definedName>
    <definedName name="_xlnm._FilterDatabase" localSheetId="1" hidden="1">Matrizes!$A$4:$AA$149</definedName>
    <definedName name="_xlnm.Print_Area" localSheetId="2">Desempenho!$B$1:$N$167</definedName>
    <definedName name="_xlnm.Print_Area" localSheetId="1">Matrizes!$B$2:$I$152</definedName>
    <definedName name="_xlnm.Print_Titles" localSheetId="2">Desempenho!$1:$3</definedName>
    <definedName name="_xlnm.Print_Titles" localSheetId="1">Matrizes!$2:$4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8" i="3" l="1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06" i="3"/>
  <c r="H105" i="3"/>
  <c r="H98" i="3"/>
  <c r="H85" i="3"/>
  <c r="H79" i="3"/>
  <c r="H75" i="3"/>
  <c r="H72" i="3"/>
  <c r="H70" i="3"/>
  <c r="H67" i="3"/>
  <c r="H65" i="3"/>
  <c r="H63" i="3"/>
  <c r="H61" i="3"/>
  <c r="H60" i="3"/>
  <c r="H58" i="3"/>
  <c r="H57" i="3"/>
  <c r="H50" i="3"/>
  <c r="H30" i="3"/>
  <c r="C84" i="3"/>
  <c r="B1013" i="2"/>
  <c r="A1013" i="2" s="1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A131" i="3"/>
  <c r="A130" i="3"/>
  <c r="A129" i="3"/>
  <c r="A128" i="3"/>
  <c r="A127" i="3"/>
  <c r="D150" i="3"/>
  <c r="C150" i="3"/>
  <c r="B150" i="3"/>
  <c r="D149" i="3"/>
  <c r="C149" i="3"/>
  <c r="B149" i="3"/>
  <c r="I150" i="3"/>
  <c r="H150" i="3"/>
  <c r="F150" i="3"/>
  <c r="E150" i="3"/>
  <c r="I149" i="3"/>
  <c r="H149" i="3"/>
  <c r="F149" i="3"/>
  <c r="E149" i="3"/>
  <c r="I148" i="3"/>
  <c r="F148" i="3"/>
  <c r="E148" i="3"/>
  <c r="I147" i="3"/>
  <c r="F147" i="3"/>
  <c r="E147" i="3"/>
  <c r="I146" i="3"/>
  <c r="F146" i="3"/>
  <c r="E146" i="3"/>
  <c r="I145" i="3"/>
  <c r="F145" i="3"/>
  <c r="E145" i="3"/>
  <c r="I144" i="3"/>
  <c r="F144" i="3"/>
  <c r="E144" i="3"/>
  <c r="I143" i="3"/>
  <c r="F143" i="3"/>
  <c r="E143" i="3"/>
  <c r="I142" i="3"/>
  <c r="F142" i="3"/>
  <c r="E142" i="3"/>
  <c r="I141" i="3"/>
  <c r="F141" i="3"/>
  <c r="E141" i="3"/>
  <c r="I140" i="3"/>
  <c r="F140" i="3"/>
  <c r="E140" i="3"/>
  <c r="I139" i="3"/>
  <c r="F139" i="3"/>
  <c r="E139" i="3"/>
  <c r="I138" i="3"/>
  <c r="F138" i="3"/>
  <c r="E138" i="3"/>
  <c r="I137" i="3"/>
  <c r="F137" i="3"/>
  <c r="E137" i="3"/>
  <c r="I136" i="3"/>
  <c r="F136" i="3"/>
  <c r="E136" i="3"/>
  <c r="I135" i="3"/>
  <c r="I134" i="3"/>
  <c r="I133" i="3"/>
  <c r="D154" i="3"/>
  <c r="D155" i="3"/>
  <c r="A977" i="2" l="1"/>
  <c r="A986" i="2"/>
  <c r="A973" i="2"/>
  <c r="A980" i="2"/>
  <c r="A976" i="2"/>
  <c r="A984" i="2"/>
  <c r="A970" i="2"/>
  <c r="A972" i="2"/>
  <c r="A988" i="2"/>
  <c r="A974" i="2"/>
  <c r="A982" i="2"/>
  <c r="A989" i="2"/>
  <c r="A981" i="2"/>
  <c r="A985" i="2"/>
  <c r="A978" i="2"/>
  <c r="A990" i="2"/>
  <c r="A975" i="2"/>
  <c r="A979" i="2"/>
  <c r="A987" i="2"/>
  <c r="A991" i="2"/>
  <c r="A971" i="2"/>
  <c r="A983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I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A938" i="2" l="1"/>
  <c r="A940" i="2"/>
  <c r="A937" i="2"/>
  <c r="A941" i="2"/>
  <c r="A943" i="2"/>
  <c r="A944" i="2"/>
  <c r="A945" i="2"/>
  <c r="A946" i="2"/>
  <c r="A939" i="2"/>
  <c r="C37" i="3"/>
  <c r="R783" i="2"/>
  <c r="R782" i="2"/>
  <c r="R781" i="2"/>
  <c r="R780" i="2"/>
  <c r="R779" i="2"/>
  <c r="B79" i="3"/>
  <c r="B75" i="3"/>
  <c r="B67" i="3"/>
  <c r="B61" i="3"/>
  <c r="B57" i="3"/>
  <c r="B48" i="3"/>
  <c r="B47" i="3"/>
  <c r="B43" i="3"/>
  <c r="B41" i="3"/>
  <c r="B31" i="3"/>
  <c r="B30" i="3"/>
  <c r="B18" i="3"/>
  <c r="B15" i="3"/>
  <c r="B14" i="3"/>
  <c r="B4" i="3"/>
  <c r="H110" i="3"/>
  <c r="H109" i="3"/>
  <c r="H108" i="3"/>
  <c r="H107" i="3"/>
  <c r="H104" i="3"/>
  <c r="H103" i="3"/>
  <c r="H102" i="3"/>
  <c r="H101" i="3"/>
  <c r="H100" i="3"/>
  <c r="H99" i="3"/>
  <c r="H97" i="3"/>
  <c r="H96" i="3"/>
  <c r="H95" i="3"/>
  <c r="H94" i="3"/>
  <c r="H93" i="3"/>
  <c r="H92" i="3"/>
  <c r="H91" i="3"/>
  <c r="H90" i="3"/>
  <c r="H89" i="3"/>
  <c r="H88" i="3"/>
  <c r="H87" i="3"/>
  <c r="H86" i="3"/>
  <c r="H84" i="3"/>
  <c r="H83" i="3"/>
  <c r="H82" i="3"/>
  <c r="H81" i="3"/>
  <c r="H80" i="3"/>
  <c r="H78" i="3"/>
  <c r="H77" i="3"/>
  <c r="H76" i="3"/>
  <c r="H74" i="3"/>
  <c r="H73" i="3"/>
  <c r="H71" i="3"/>
  <c r="H69" i="3"/>
  <c r="H68" i="3"/>
  <c r="H66" i="3"/>
  <c r="H64" i="3"/>
  <c r="H62" i="3"/>
  <c r="H59" i="3"/>
  <c r="H56" i="3"/>
  <c r="H55" i="3"/>
  <c r="H54" i="3"/>
  <c r="H53" i="3"/>
  <c r="H52" i="3"/>
  <c r="H51" i="3"/>
  <c r="H46" i="3"/>
  <c r="H45" i="3"/>
  <c r="H44" i="3"/>
  <c r="H42" i="3"/>
  <c r="H40" i="3"/>
  <c r="H39" i="3"/>
  <c r="H38" i="3"/>
  <c r="H37" i="3"/>
  <c r="H36" i="3"/>
  <c r="H35" i="3"/>
  <c r="H34" i="3"/>
  <c r="H33" i="3"/>
  <c r="H32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3" i="3"/>
  <c r="H12" i="3"/>
  <c r="H11" i="3"/>
  <c r="H10" i="3"/>
  <c r="H9" i="3"/>
  <c r="H8" i="3"/>
  <c r="H6" i="3"/>
  <c r="H5" i="3"/>
  <c r="H4" i="3"/>
  <c r="H7" i="3"/>
  <c r="B49" i="3" l="1"/>
  <c r="I28" i="3"/>
  <c r="B864" i="2" l="1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05" i="2" l="1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E105" i="3" l="1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8" i="3"/>
  <c r="I77" i="3"/>
  <c r="I76" i="3"/>
  <c r="I74" i="3"/>
  <c r="I73" i="3"/>
  <c r="I72" i="3"/>
  <c r="I71" i="3"/>
  <c r="I70" i="3"/>
  <c r="I69" i="3"/>
  <c r="I68" i="3"/>
  <c r="I66" i="3"/>
  <c r="I65" i="3"/>
  <c r="I64" i="3"/>
  <c r="I63" i="3"/>
  <c r="I62" i="3"/>
  <c r="I61" i="3"/>
  <c r="I60" i="3"/>
  <c r="I59" i="3"/>
  <c r="I58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2" i="3"/>
  <c r="I41" i="3"/>
  <c r="I40" i="3"/>
  <c r="I39" i="3"/>
  <c r="I38" i="3"/>
  <c r="I37" i="3"/>
  <c r="I36" i="3"/>
  <c r="I35" i="3"/>
  <c r="I34" i="3"/>
  <c r="I33" i="3"/>
  <c r="I32" i="3"/>
  <c r="I29" i="3"/>
  <c r="I27" i="3"/>
  <c r="I26" i="3"/>
  <c r="I25" i="3"/>
  <c r="I24" i="3"/>
  <c r="I23" i="3"/>
  <c r="I22" i="3"/>
  <c r="I21" i="3"/>
  <c r="I20" i="3"/>
  <c r="I19" i="3"/>
  <c r="I18" i="3"/>
  <c r="I17" i="3"/>
  <c r="I16" i="3"/>
  <c r="I13" i="3"/>
  <c r="I12" i="3"/>
  <c r="I11" i="3"/>
  <c r="I10" i="3"/>
  <c r="I9" i="3"/>
  <c r="I8" i="3"/>
  <c r="I7" i="3"/>
  <c r="I6" i="3"/>
  <c r="I5" i="3"/>
  <c r="B6" i="3" l="1"/>
  <c r="B7" i="3"/>
  <c r="C100" i="3"/>
  <c r="C99" i="3"/>
  <c r="C98" i="3"/>
  <c r="C97" i="3"/>
  <c r="C102" i="1"/>
  <c r="C103" i="1" l="1"/>
  <c r="C102" i="3" s="1"/>
  <c r="C101" i="3"/>
  <c r="C95" i="3"/>
  <c r="C94" i="3"/>
  <c r="C93" i="3"/>
  <c r="C92" i="3"/>
  <c r="C91" i="3"/>
  <c r="C90" i="3"/>
  <c r="C89" i="3"/>
  <c r="C88" i="3"/>
  <c r="C87" i="3"/>
  <c r="C86" i="3"/>
  <c r="C85" i="3"/>
  <c r="B10" i="1" l="1"/>
  <c r="B8" i="3"/>
  <c r="C104" i="1"/>
  <c r="C105" i="1" s="1"/>
  <c r="B10" i="3"/>
  <c r="C96" i="3"/>
  <c r="B9" i="3" l="1"/>
  <c r="C103" i="3"/>
  <c r="B12" i="1"/>
  <c r="B11" i="3" s="1"/>
  <c r="C106" i="1"/>
  <c r="C107" i="1" s="1"/>
  <c r="C104" i="3"/>
  <c r="C105" i="3" l="1"/>
  <c r="C5" i="4"/>
  <c r="C83" i="3"/>
  <c r="C82" i="3"/>
  <c r="C81" i="3"/>
  <c r="C80" i="3"/>
  <c r="I79" i="3"/>
  <c r="C79" i="3"/>
  <c r="C78" i="3"/>
  <c r="C77" i="3"/>
  <c r="C76" i="3"/>
  <c r="I75" i="3"/>
  <c r="C75" i="3"/>
  <c r="C74" i="3"/>
  <c r="C73" i="3"/>
  <c r="C72" i="3"/>
  <c r="C71" i="3"/>
  <c r="C70" i="3"/>
  <c r="C69" i="3"/>
  <c r="I67" i="3"/>
  <c r="C67" i="3"/>
  <c r="C66" i="3"/>
  <c r="C65" i="3"/>
  <c r="C64" i="3"/>
  <c r="C62" i="3"/>
  <c r="C61" i="3"/>
  <c r="C60" i="3"/>
  <c r="C59" i="3"/>
  <c r="C58" i="3"/>
  <c r="I57" i="3"/>
  <c r="C57" i="3"/>
  <c r="C56" i="3"/>
  <c r="C55" i="3"/>
  <c r="C54" i="3"/>
  <c r="C53" i="3"/>
  <c r="C52" i="3"/>
  <c r="C51" i="3"/>
  <c r="C50" i="3"/>
  <c r="H49" i="3"/>
  <c r="C49" i="3"/>
  <c r="H48" i="3"/>
  <c r="C48" i="3"/>
  <c r="H47" i="3"/>
  <c r="C47" i="3"/>
  <c r="C46" i="3"/>
  <c r="C45" i="3"/>
  <c r="C44" i="3"/>
  <c r="I43" i="3"/>
  <c r="H43" i="3"/>
  <c r="C43" i="3"/>
  <c r="C42" i="3"/>
  <c r="C41" i="3"/>
  <c r="C40" i="3"/>
  <c r="C39" i="3"/>
  <c r="C38" i="3"/>
  <c r="C36" i="3"/>
  <c r="C35" i="3"/>
  <c r="C34" i="3"/>
  <c r="C33" i="3"/>
  <c r="C32" i="3"/>
  <c r="I31" i="3"/>
  <c r="H31" i="3"/>
  <c r="C31" i="3"/>
  <c r="I30" i="3"/>
  <c r="C30" i="3"/>
  <c r="C29" i="3"/>
  <c r="C28" i="3"/>
  <c r="B13" i="3" l="1"/>
  <c r="B12" i="3"/>
  <c r="C108" i="1"/>
  <c r="C106" i="3"/>
  <c r="H18" i="3"/>
  <c r="I15" i="3"/>
  <c r="H15" i="3"/>
  <c r="I14" i="3"/>
  <c r="H14" i="3"/>
  <c r="B16" i="3" l="1"/>
  <c r="B18" i="1"/>
  <c r="B17" i="3" s="1"/>
  <c r="C109" i="1"/>
  <c r="C107" i="3"/>
  <c r="B936" i="2"/>
  <c r="A936" i="2" s="1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33" i="2"/>
  <c r="B832" i="2"/>
  <c r="B831" i="2"/>
  <c r="B830" i="2"/>
  <c r="B829" i="2"/>
  <c r="B828" i="2"/>
  <c r="B827" i="2"/>
  <c r="B826" i="2"/>
  <c r="B82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A933" i="2" l="1"/>
  <c r="A934" i="2"/>
  <c r="A935" i="2"/>
  <c r="A931" i="2"/>
  <c r="A831" i="2"/>
  <c r="A924" i="2"/>
  <c r="A730" i="2"/>
  <c r="A710" i="2"/>
  <c r="A770" i="2"/>
  <c r="A630" i="2"/>
  <c r="A591" i="2"/>
  <c r="A611" i="2"/>
  <c r="A749" i="2"/>
  <c r="A789" i="2"/>
  <c r="A880" i="2"/>
  <c r="A572" i="2"/>
  <c r="A716" i="2"/>
  <c r="A887" i="2"/>
  <c r="A927" i="2"/>
  <c r="A777" i="2"/>
  <c r="A928" i="2"/>
  <c r="A579" i="2"/>
  <c r="A659" i="2"/>
  <c r="A890" i="2"/>
  <c r="A861" i="2"/>
  <c r="A845" i="2"/>
  <c r="A841" i="2"/>
  <c r="A856" i="2"/>
  <c r="A838" i="2"/>
  <c r="A871" i="2"/>
  <c r="A461" i="2"/>
  <c r="A453" i="2"/>
  <c r="A702" i="2"/>
  <c r="A742" i="2"/>
  <c r="A893" i="2"/>
  <c r="A592" i="2"/>
  <c r="A832" i="2"/>
  <c r="A615" i="2"/>
  <c r="A464" i="2"/>
  <c r="A584" i="2"/>
  <c r="A515" i="2"/>
  <c r="A745" i="2"/>
  <c r="A818" i="2"/>
  <c r="A806" i="2"/>
  <c r="A815" i="2"/>
  <c r="A817" i="2"/>
  <c r="A896" i="2"/>
  <c r="A772" i="2"/>
  <c r="A553" i="2"/>
  <c r="A654" i="2"/>
  <c r="A466" i="2"/>
  <c r="A646" i="2"/>
  <c r="A686" i="2"/>
  <c r="A898" i="2"/>
  <c r="A909" i="2"/>
  <c r="A588" i="2"/>
  <c r="A708" i="2"/>
  <c r="A788" i="2"/>
  <c r="C110" i="1"/>
  <c r="C108" i="3"/>
  <c r="C23" i="3"/>
  <c r="C24" i="3"/>
  <c r="C25" i="3"/>
  <c r="C26" i="3"/>
  <c r="C27" i="3"/>
  <c r="C111" i="1" l="1"/>
  <c r="C112" i="1" s="1"/>
  <c r="C109" i="3"/>
  <c r="B5" i="2"/>
  <c r="A942" i="2" l="1"/>
  <c r="A929" i="2"/>
  <c r="A911" i="2"/>
  <c r="A853" i="2"/>
  <c r="A915" i="2"/>
  <c r="A926" i="2"/>
  <c r="A925" i="2"/>
  <c r="A913" i="2"/>
  <c r="A994" i="2"/>
  <c r="A995" i="2"/>
  <c r="A993" i="2"/>
  <c r="A992" i="2"/>
  <c r="A860" i="2"/>
  <c r="A865" i="2"/>
  <c r="A1009" i="2"/>
  <c r="A1012" i="2"/>
  <c r="A998" i="2"/>
  <c r="A996" i="2"/>
  <c r="A1010" i="2"/>
  <c r="A997" i="2"/>
  <c r="A999" i="2"/>
  <c r="A1011" i="2"/>
  <c r="A1007" i="2"/>
  <c r="A1006" i="2"/>
  <c r="A1003" i="2"/>
  <c r="A1005" i="2"/>
  <c r="A1001" i="2"/>
  <c r="A1000" i="2"/>
  <c r="A1002" i="2"/>
  <c r="A1008" i="2"/>
  <c r="A1004" i="2"/>
  <c r="A932" i="2"/>
  <c r="A910" i="2"/>
  <c r="A921" i="2"/>
  <c r="A907" i="2"/>
  <c r="A879" i="2"/>
  <c r="A917" i="2"/>
  <c r="A916" i="2"/>
  <c r="A892" i="2"/>
  <c r="A930" i="2"/>
  <c r="A918" i="2"/>
  <c r="A920" i="2"/>
  <c r="A912" i="2"/>
  <c r="A904" i="2"/>
  <c r="A903" i="2"/>
  <c r="A894" i="2"/>
  <c r="A914" i="2"/>
  <c r="A922" i="2"/>
  <c r="A905" i="2"/>
  <c r="A899" i="2"/>
  <c r="A897" i="2"/>
  <c r="A902" i="2"/>
  <c r="A906" i="2"/>
  <c r="A901" i="2"/>
  <c r="A900" i="2"/>
  <c r="A868" i="2"/>
  <c r="A923" i="2"/>
  <c r="A908" i="2"/>
  <c r="A895" i="2"/>
  <c r="A919" i="2"/>
  <c r="A889" i="2"/>
  <c r="A877" i="2"/>
  <c r="A888" i="2"/>
  <c r="A885" i="2"/>
  <c r="A875" i="2"/>
  <c r="A884" i="2"/>
  <c r="A881" i="2"/>
  <c r="A857" i="2"/>
  <c r="A874" i="2"/>
  <c r="A833" i="2"/>
  <c r="A864" i="2"/>
  <c r="A872" i="2"/>
  <c r="A5" i="2"/>
  <c r="A957" i="2"/>
  <c r="A955" i="2"/>
  <c r="A961" i="2"/>
  <c r="A958" i="2"/>
  <c r="A960" i="2"/>
  <c r="A965" i="2"/>
  <c r="A966" i="2"/>
  <c r="A954" i="2"/>
  <c r="A969" i="2"/>
  <c r="A959" i="2"/>
  <c r="A951" i="2"/>
  <c r="A964" i="2"/>
  <c r="A956" i="2"/>
  <c r="A950" i="2"/>
  <c r="A962" i="2"/>
  <c r="A968" i="2"/>
  <c r="A948" i="2"/>
  <c r="A963" i="2"/>
  <c r="A947" i="2"/>
  <c r="A967" i="2"/>
  <c r="A952" i="2"/>
  <c r="A949" i="2"/>
  <c r="A953" i="2"/>
  <c r="A9" i="2"/>
  <c r="A130" i="2"/>
  <c r="A230" i="2"/>
  <c r="A290" i="2"/>
  <c r="A110" i="2"/>
  <c r="A451" i="2"/>
  <c r="A609" i="2"/>
  <c r="A613" i="2"/>
  <c r="A596" i="2"/>
  <c r="A117" i="2"/>
  <c r="A517" i="2"/>
  <c r="A13" i="2"/>
  <c r="A439" i="2"/>
  <c r="A834" i="2"/>
  <c r="A520" i="2"/>
  <c r="A472" i="2"/>
  <c r="A598" i="2"/>
  <c r="A401" i="2"/>
  <c r="A801" i="2"/>
  <c r="A396" i="2"/>
  <c r="A302" i="2"/>
  <c r="A634" i="2"/>
  <c r="A103" i="2"/>
  <c r="A503" i="2"/>
  <c r="A452" i="2"/>
  <c r="A318" i="2"/>
  <c r="A304" i="2"/>
  <c r="A704" i="2"/>
  <c r="A514" i="2"/>
  <c r="A85" i="2"/>
  <c r="A485" i="2"/>
  <c r="A152" i="2"/>
  <c r="A298" i="2"/>
  <c r="A266" i="2"/>
  <c r="A666" i="2"/>
  <c r="A594" i="2"/>
  <c r="A127" i="2"/>
  <c r="A527" i="2"/>
  <c r="A632" i="2"/>
  <c r="A618" i="2"/>
  <c r="A208" i="2"/>
  <c r="A608" i="2"/>
  <c r="A629" i="2"/>
  <c r="A134" i="2"/>
  <c r="A537" i="2"/>
  <c r="A393" i="2"/>
  <c r="A836" i="2"/>
  <c r="A540" i="2"/>
  <c r="A869" i="2"/>
  <c r="A421" i="2"/>
  <c r="A322" i="2"/>
  <c r="A75" i="2"/>
  <c r="A523" i="2"/>
  <c r="A518" i="2"/>
  <c r="A724" i="2"/>
  <c r="A754" i="2"/>
  <c r="A105" i="2"/>
  <c r="A272" i="2"/>
  <c r="A15" i="2"/>
  <c r="A153" i="2"/>
  <c r="A269" i="2"/>
  <c r="A190" i="2"/>
  <c r="A430" i="2"/>
  <c r="A490" i="2"/>
  <c r="A370" i="2"/>
  <c r="A511" i="2"/>
  <c r="A616" i="2"/>
  <c r="A137" i="2"/>
  <c r="A459" i="2"/>
  <c r="A672" i="2"/>
  <c r="A218" i="2"/>
  <c r="A722" i="2"/>
  <c r="A123" i="2"/>
  <c r="A612" i="2"/>
  <c r="A324" i="2"/>
  <c r="A505" i="2"/>
  <c r="A809" i="2"/>
  <c r="A478" i="2"/>
  <c r="A147" i="2"/>
  <c r="A738" i="2"/>
  <c r="A628" i="2"/>
  <c r="A289" i="2"/>
  <c r="A410" i="2"/>
  <c r="A530" i="2"/>
  <c r="A571" i="2"/>
  <c r="A649" i="2"/>
  <c r="A234" i="2"/>
  <c r="A636" i="2"/>
  <c r="A157" i="2"/>
  <c r="A557" i="2"/>
  <c r="A54" i="2"/>
  <c r="A479" i="2"/>
  <c r="A412" i="2"/>
  <c r="A854" i="2"/>
  <c r="A275" i="2"/>
  <c r="A560" i="2"/>
  <c r="A73" i="2"/>
  <c r="A119" i="2"/>
  <c r="A441" i="2"/>
  <c r="A378" i="2"/>
  <c r="A342" i="2"/>
  <c r="A395" i="2"/>
  <c r="A143" i="2"/>
  <c r="A543" i="2"/>
  <c r="A718" i="2"/>
  <c r="A344" i="2"/>
  <c r="A744" i="2"/>
  <c r="A155" i="2"/>
  <c r="A125" i="2"/>
  <c r="A525" i="2"/>
  <c r="A805" i="2"/>
  <c r="A532" i="2"/>
  <c r="A698" i="2"/>
  <c r="A306" i="2"/>
  <c r="A706" i="2"/>
  <c r="A195" i="2"/>
  <c r="A167" i="2"/>
  <c r="A567" i="2"/>
  <c r="A333" i="2"/>
  <c r="A248" i="2"/>
  <c r="A648" i="2"/>
  <c r="A728" i="2"/>
  <c r="A748" i="2"/>
  <c r="A67" i="2"/>
  <c r="A327" i="2"/>
  <c r="A767" i="2"/>
  <c r="A41" i="2"/>
  <c r="A787" i="2"/>
  <c r="A468" i="2"/>
  <c r="A321" i="2"/>
  <c r="A186" i="2"/>
  <c r="A57" i="2"/>
  <c r="A49" i="2"/>
  <c r="A761" i="2"/>
  <c r="A264" i="2"/>
  <c r="A87" i="2"/>
  <c r="A711" i="2"/>
  <c r="A570" i="2"/>
  <c r="A31" i="2"/>
  <c r="A610" i="2"/>
  <c r="A631" i="2"/>
  <c r="A669" i="2"/>
  <c r="A454" i="2"/>
  <c r="A656" i="2"/>
  <c r="A177" i="2"/>
  <c r="A577" i="2"/>
  <c r="A374" i="2"/>
  <c r="A499" i="2"/>
  <c r="A792" i="2"/>
  <c r="A852" i="2"/>
  <c r="A595" i="2"/>
  <c r="A580" i="2"/>
  <c r="A273" i="2"/>
  <c r="A20" i="2"/>
  <c r="A312" i="2"/>
  <c r="A538" i="2"/>
  <c r="A362" i="2"/>
  <c r="A762" i="2"/>
  <c r="A795" i="2"/>
  <c r="A163" i="2"/>
  <c r="A563" i="2"/>
  <c r="A173" i="2"/>
  <c r="A79" i="2"/>
  <c r="A364" i="2"/>
  <c r="A764" i="2"/>
  <c r="A335" i="2"/>
  <c r="A145" i="2"/>
  <c r="A545" i="2"/>
  <c r="A821" i="2"/>
  <c r="A99" i="2"/>
  <c r="A326" i="2"/>
  <c r="A726" i="2"/>
  <c r="A315" i="2"/>
  <c r="A187" i="2"/>
  <c r="A587" i="2"/>
  <c r="A473" i="2"/>
  <c r="A159" i="2"/>
  <c r="A268" i="2"/>
  <c r="A668" i="2"/>
  <c r="A647" i="2"/>
  <c r="A82" i="2"/>
  <c r="A554" i="2"/>
  <c r="A812" i="2"/>
  <c r="A19" i="2"/>
  <c r="A164" i="2"/>
  <c r="A495" i="2"/>
  <c r="A891" i="2"/>
  <c r="A575" i="2"/>
  <c r="A673" i="2"/>
  <c r="A296" i="2"/>
  <c r="A779" i="2"/>
  <c r="A655" i="2"/>
  <c r="A244" i="2"/>
  <c r="A467" i="2"/>
  <c r="A569" i="2"/>
  <c r="A399" i="2"/>
  <c r="A316" i="2"/>
  <c r="A487" i="2"/>
  <c r="A651" i="2"/>
  <c r="A670" i="2"/>
  <c r="A131" i="2"/>
  <c r="A251" i="2"/>
  <c r="A690" i="2"/>
  <c r="A92" i="2"/>
  <c r="A689" i="2"/>
  <c r="A694" i="2"/>
  <c r="A676" i="2"/>
  <c r="A197" i="2"/>
  <c r="A597" i="2"/>
  <c r="A794" i="2"/>
  <c r="A519" i="2"/>
  <c r="A253" i="2"/>
  <c r="A835" i="2"/>
  <c r="A600" i="2"/>
  <c r="A493" i="2"/>
  <c r="A180" i="2"/>
  <c r="A481" i="2"/>
  <c r="A552" i="2"/>
  <c r="A638" i="2"/>
  <c r="A382" i="2"/>
  <c r="A782" i="2"/>
  <c r="A56" i="2"/>
  <c r="A183" i="2"/>
  <c r="A583" i="2"/>
  <c r="A433" i="2"/>
  <c r="A239" i="2"/>
  <c r="A384" i="2"/>
  <c r="A784" i="2"/>
  <c r="A165" i="2"/>
  <c r="A565" i="2"/>
  <c r="A813" i="2"/>
  <c r="A133" i="2"/>
  <c r="A40" i="2"/>
  <c r="A346" i="2"/>
  <c r="A746" i="2"/>
  <c r="A555" i="2"/>
  <c r="A207" i="2"/>
  <c r="A607" i="2"/>
  <c r="A653" i="2"/>
  <c r="A140" i="2"/>
  <c r="A288" i="2"/>
  <c r="A688" i="2"/>
  <c r="A386" i="2"/>
  <c r="A247" i="2"/>
  <c r="A328" i="2"/>
  <c r="A707" i="2"/>
  <c r="A504" i="2"/>
  <c r="A314" i="2"/>
  <c r="A408" i="2"/>
  <c r="A48" i="2"/>
  <c r="A215" i="2"/>
  <c r="A675" i="2"/>
  <c r="A844" i="2"/>
  <c r="A721" i="2"/>
  <c r="A423" i="2"/>
  <c r="A313" i="2"/>
  <c r="A52" i="2"/>
  <c r="A573" i="2"/>
  <c r="A229" i="2"/>
  <c r="A799" i="2"/>
  <c r="A112" i="2"/>
  <c r="A445" i="2"/>
  <c r="A338" i="2"/>
  <c r="A691" i="2"/>
  <c r="A71" i="2"/>
  <c r="A331" i="2"/>
  <c r="A411" i="2"/>
  <c r="A830" i="2"/>
  <c r="A309" i="2"/>
  <c r="A709" i="2"/>
  <c r="A55" i="2"/>
  <c r="A696" i="2"/>
  <c r="A217" i="2"/>
  <c r="A617" i="2"/>
  <c r="A355" i="2"/>
  <c r="A539" i="2"/>
  <c r="A533" i="2"/>
  <c r="A859" i="2"/>
  <c r="A78" i="2"/>
  <c r="A620" i="2"/>
  <c r="A733" i="2"/>
  <c r="A61" i="2"/>
  <c r="A501" i="2"/>
  <c r="A692" i="2"/>
  <c r="A758" i="2"/>
  <c r="A402" i="2"/>
  <c r="A802" i="2"/>
  <c r="A216" i="2"/>
  <c r="A203" i="2"/>
  <c r="A603" i="2"/>
  <c r="A593" i="2"/>
  <c r="A80" i="2"/>
  <c r="A404" i="2"/>
  <c r="A804" i="2"/>
  <c r="A635" i="2"/>
  <c r="A185" i="2"/>
  <c r="A585" i="2"/>
  <c r="A820" i="2"/>
  <c r="A353" i="2"/>
  <c r="A200" i="2"/>
  <c r="A366" i="2"/>
  <c r="A766" i="2"/>
  <c r="A866" i="2"/>
  <c r="A227" i="2"/>
  <c r="A627" i="2"/>
  <c r="A773" i="2"/>
  <c r="A21" i="2"/>
  <c r="A308" i="2"/>
  <c r="A786" i="2"/>
  <c r="A96" i="2"/>
  <c r="A348" i="2"/>
  <c r="A285" i="2"/>
  <c r="A8" i="2"/>
  <c r="A363" i="2"/>
  <c r="A526" i="2"/>
  <c r="A407" i="2"/>
  <c r="A222" i="2"/>
  <c r="A731" i="2"/>
  <c r="A51" i="2"/>
  <c r="A196" i="2"/>
  <c r="A47" i="2"/>
  <c r="A850" i="2"/>
  <c r="A480" i="2"/>
  <c r="A174" i="2"/>
  <c r="A671" i="2"/>
  <c r="A771" i="2"/>
  <c r="A12" i="2"/>
  <c r="A72" i="2"/>
  <c r="A111" i="2"/>
  <c r="A329" i="2"/>
  <c r="A729" i="2"/>
  <c r="A255" i="2"/>
  <c r="A237" i="2"/>
  <c r="A637" i="2"/>
  <c r="A735" i="2"/>
  <c r="A559" i="2"/>
  <c r="A74" i="2"/>
  <c r="A842" i="2"/>
  <c r="A398" i="2"/>
  <c r="A640" i="2"/>
  <c r="A34" i="2"/>
  <c r="A121" i="2"/>
  <c r="A521" i="2"/>
  <c r="A422" i="2"/>
  <c r="A873" i="2"/>
  <c r="A336" i="2"/>
  <c r="A223" i="2"/>
  <c r="A623" i="2"/>
  <c r="A793" i="2"/>
  <c r="A260" i="2"/>
  <c r="A424" i="2"/>
  <c r="A36" i="2"/>
  <c r="A205" i="2"/>
  <c r="A605" i="2"/>
  <c r="A101" i="2"/>
  <c r="A94" i="2"/>
  <c r="A458" i="2"/>
  <c r="A774" i="2"/>
  <c r="A115" i="2"/>
  <c r="A219" i="2"/>
  <c r="A488" i="2"/>
  <c r="A693" i="2"/>
  <c r="A405" i="2"/>
  <c r="A33" i="2"/>
  <c r="A823" i="2"/>
  <c r="A206" i="2"/>
  <c r="A556" i="2"/>
  <c r="A361" i="2"/>
  <c r="A811" i="2"/>
  <c r="A132" i="2"/>
  <c r="A209" i="2"/>
  <c r="A29" i="2"/>
  <c r="A169" i="2"/>
  <c r="A271" i="2"/>
  <c r="A349" i="2"/>
  <c r="A475" i="2"/>
  <c r="A736" i="2"/>
  <c r="A257" i="2"/>
  <c r="A657" i="2"/>
  <c r="A176" i="2"/>
  <c r="A254" i="2"/>
  <c r="A839" i="2"/>
  <c r="A678" i="2"/>
  <c r="A660" i="2"/>
  <c r="A354" i="2"/>
  <c r="A141" i="2"/>
  <c r="A541" i="2"/>
  <c r="A233" i="2"/>
  <c r="A139" i="2"/>
  <c r="A442" i="2"/>
  <c r="A198" i="2"/>
  <c r="A243" i="2"/>
  <c r="A643" i="2"/>
  <c r="A274" i="2"/>
  <c r="A22" i="2"/>
  <c r="A444" i="2"/>
  <c r="A276" i="2"/>
  <c r="A225" i="2"/>
  <c r="A625" i="2"/>
  <c r="A713" i="2"/>
  <c r="A25" i="2"/>
  <c r="A406" i="2"/>
  <c r="A826" i="2"/>
  <c r="A236" i="2"/>
  <c r="A267" i="2"/>
  <c r="A667" i="2"/>
  <c r="A214" i="2"/>
  <c r="A7" i="2"/>
  <c r="A104" i="2"/>
  <c r="A747" i="2"/>
  <c r="A295" i="2"/>
  <c r="A53" i="2"/>
  <c r="A37" i="2"/>
  <c r="A819" i="2"/>
  <c r="A128" i="2"/>
  <c r="A843" i="2"/>
  <c r="A138" i="2"/>
  <c r="A876" i="2"/>
  <c r="A256" i="2"/>
  <c r="A189" i="2"/>
  <c r="A837" i="2"/>
  <c r="A886" i="2"/>
  <c r="A463" i="2"/>
  <c r="A58" i="2"/>
  <c r="A89" i="2"/>
  <c r="A70" i="2"/>
  <c r="A250" i="2"/>
  <c r="A30" i="2"/>
  <c r="A431" i="2"/>
  <c r="A369" i="2"/>
  <c r="A769" i="2"/>
  <c r="A715" i="2"/>
  <c r="A756" i="2"/>
  <c r="A277" i="2"/>
  <c r="A677" i="2"/>
  <c r="A118" i="2"/>
  <c r="A599" i="2"/>
  <c r="A494" i="2"/>
  <c r="A840" i="2"/>
  <c r="A179" i="2"/>
  <c r="A680" i="2"/>
  <c r="A534" i="2"/>
  <c r="A161" i="2"/>
  <c r="A561" i="2"/>
  <c r="A60" i="2"/>
  <c r="A462" i="2"/>
  <c r="A358" i="2"/>
  <c r="A263" i="2"/>
  <c r="A663" i="2"/>
  <c r="A474" i="2"/>
  <c r="A64" i="2"/>
  <c r="A38" i="2"/>
  <c r="A245" i="2"/>
  <c r="A645" i="2"/>
  <c r="A814" i="2"/>
  <c r="A26" i="2"/>
  <c r="A426" i="2"/>
  <c r="A18" i="2"/>
  <c r="A287" i="2"/>
  <c r="A687" i="2"/>
  <c r="A414" i="2"/>
  <c r="A27" i="2"/>
  <c r="A368" i="2"/>
  <c r="A768" i="2"/>
  <c r="A418" i="2"/>
  <c r="A388" i="2"/>
  <c r="A66" i="2"/>
  <c r="A448" i="2"/>
  <c r="A763" i="2"/>
  <c r="A126" i="2"/>
  <c r="A759" i="2"/>
  <c r="A622" i="2"/>
  <c r="A624" i="2"/>
  <c r="A528" i="2"/>
  <c r="A536" i="2"/>
  <c r="A741" i="2"/>
  <c r="A644" i="2"/>
  <c r="A606" i="2"/>
  <c r="A548" i="2"/>
  <c r="A77" i="2"/>
  <c r="A664" i="2"/>
  <c r="A226" i="2"/>
  <c r="A882" i="2"/>
  <c r="A150" i="2"/>
  <c r="A450" i="2"/>
  <c r="A330" i="2"/>
  <c r="A491" i="2"/>
  <c r="A389" i="2"/>
  <c r="A156" i="2"/>
  <c r="A776" i="2"/>
  <c r="A297" i="2"/>
  <c r="A697" i="2"/>
  <c r="A278" i="2"/>
  <c r="A619" i="2"/>
  <c r="A674" i="2"/>
  <c r="A849" i="2"/>
  <c r="A220" i="2"/>
  <c r="A700" i="2"/>
  <c r="A714" i="2"/>
  <c r="A181" i="2"/>
  <c r="A581" i="2"/>
  <c r="A633" i="2"/>
  <c r="A240" i="2"/>
  <c r="A482" i="2"/>
  <c r="A212" i="2"/>
  <c r="A558" i="2"/>
  <c r="A283" i="2"/>
  <c r="A683" i="2"/>
  <c r="A574" i="2"/>
  <c r="A84" i="2"/>
  <c r="A484" i="2"/>
  <c r="A172" i="2"/>
  <c r="A238" i="2"/>
  <c r="A265" i="2"/>
  <c r="A665" i="2"/>
  <c r="A807" i="2"/>
  <c r="A154" i="2"/>
  <c r="A46" i="2"/>
  <c r="A446" i="2"/>
  <c r="A307" i="2"/>
  <c r="A332" i="2"/>
  <c r="A727" i="2"/>
  <c r="A347" i="2"/>
  <c r="A93" i="2"/>
  <c r="A387" i="2"/>
  <c r="A356" i="2"/>
  <c r="A825" i="2"/>
  <c r="A447" i="2"/>
  <c r="A549" i="2"/>
  <c r="A242" i="2"/>
  <c r="A109" i="2"/>
  <c r="A390" i="2"/>
  <c r="A590" i="2"/>
  <c r="A510" i="2"/>
  <c r="A551" i="2"/>
  <c r="A409" i="2"/>
  <c r="A829" i="2"/>
  <c r="A376" i="2"/>
  <c r="A796" i="2"/>
  <c r="A317" i="2"/>
  <c r="A717" i="2"/>
  <c r="A578" i="2"/>
  <c r="A639" i="2"/>
  <c r="A848" i="2"/>
  <c r="A320" i="2"/>
  <c r="A720" i="2"/>
  <c r="A201" i="2"/>
  <c r="A601" i="2"/>
  <c r="A753" i="2"/>
  <c r="A81" i="2"/>
  <c r="A502" i="2"/>
  <c r="A392" i="2"/>
  <c r="A658" i="2"/>
  <c r="A303" i="2"/>
  <c r="A703" i="2"/>
  <c r="A734" i="2"/>
  <c r="A685" i="2"/>
  <c r="A798" i="2"/>
  <c r="A828" i="2"/>
  <c r="A28" i="2"/>
  <c r="A652" i="2"/>
  <c r="A88" i="2"/>
  <c r="A6" i="2"/>
  <c r="A341" i="2"/>
  <c r="A350" i="2"/>
  <c r="A550" i="2"/>
  <c r="A650" i="2"/>
  <c r="A429" i="2"/>
  <c r="A416" i="2"/>
  <c r="A867" i="2"/>
  <c r="A337" i="2"/>
  <c r="A737" i="2"/>
  <c r="A59" i="2"/>
  <c r="A847" i="2"/>
  <c r="A855" i="2"/>
  <c r="A340" i="2"/>
  <c r="A740" i="2"/>
  <c r="A95" i="2"/>
  <c r="A221" i="2"/>
  <c r="A621" i="2"/>
  <c r="A114" i="2"/>
  <c r="A102" i="2"/>
  <c r="A522" i="2"/>
  <c r="A259" i="2"/>
  <c r="A323" i="2"/>
  <c r="A723" i="2"/>
  <c r="A124" i="2"/>
  <c r="A524" i="2"/>
  <c r="A512" i="2"/>
  <c r="A778" i="2"/>
  <c r="A305" i="2"/>
  <c r="A705" i="2"/>
  <c r="A822" i="2"/>
  <c r="A86" i="2"/>
  <c r="A486" i="2"/>
  <c r="A292" i="2"/>
  <c r="A428" i="2"/>
  <c r="A235" i="2"/>
  <c r="A68" i="2"/>
  <c r="A42" i="2"/>
  <c r="A642" i="2"/>
  <c r="A44" i="2"/>
  <c r="A193" i="2"/>
  <c r="A63" i="2"/>
  <c r="A168" i="2"/>
  <c r="A151" i="2"/>
  <c r="A790" i="2"/>
  <c r="A11" i="2"/>
  <c r="A449" i="2"/>
  <c r="A436" i="2"/>
  <c r="A357" i="2"/>
  <c r="A757" i="2"/>
  <c r="A279" i="2"/>
  <c r="A679" i="2"/>
  <c r="A851" i="2"/>
  <c r="A360" i="2"/>
  <c r="A760" i="2"/>
  <c r="A375" i="2"/>
  <c r="A241" i="2"/>
  <c r="A641" i="2"/>
  <c r="A434" i="2"/>
  <c r="A142" i="2"/>
  <c r="A542" i="2"/>
  <c r="A752" i="2"/>
  <c r="A160" i="2"/>
  <c r="A343" i="2"/>
  <c r="A743" i="2"/>
  <c r="A135" i="2"/>
  <c r="A144" i="2"/>
  <c r="A544" i="2"/>
  <c r="A712" i="2"/>
  <c r="A39" i="2"/>
  <c r="A325" i="2"/>
  <c r="A725" i="2"/>
  <c r="A816" i="2"/>
  <c r="A35" i="2"/>
  <c r="A106" i="2"/>
  <c r="A506" i="2"/>
  <c r="A492" i="2"/>
  <c r="A199" i="2"/>
  <c r="A367" i="2"/>
  <c r="A564" i="2"/>
  <c r="A100" i="2"/>
  <c r="A23" i="2"/>
  <c r="A379" i="2"/>
  <c r="A14" i="2"/>
  <c r="A231" i="2"/>
  <c r="A262" i="2"/>
  <c r="A568" i="2"/>
  <c r="A751" i="2"/>
  <c r="A91" i="2"/>
  <c r="A191" i="2"/>
  <c r="A149" i="2"/>
  <c r="A469" i="2"/>
  <c r="A456" i="2"/>
  <c r="A377" i="2"/>
  <c r="A299" i="2"/>
  <c r="A699" i="2"/>
  <c r="A862" i="2"/>
  <c r="A380" i="2"/>
  <c r="A780" i="2"/>
  <c r="A535" i="2"/>
  <c r="A261" i="2"/>
  <c r="A661" i="2"/>
  <c r="A614" i="2"/>
  <c r="A162" i="2"/>
  <c r="A562" i="2"/>
  <c r="A345" i="2"/>
  <c r="A827" i="2"/>
  <c r="A359" i="2"/>
  <c r="A16" i="2"/>
  <c r="A460" i="2"/>
  <c r="A425" i="2"/>
  <c r="A148" i="2"/>
  <c r="A258" i="2"/>
  <c r="A626" i="2"/>
  <c r="A69" i="2"/>
  <c r="A311" i="2"/>
  <c r="A211" i="2"/>
  <c r="A291" i="2"/>
  <c r="A270" i="2"/>
  <c r="A489" i="2"/>
  <c r="A372" i="2"/>
  <c r="A476" i="2"/>
  <c r="A397" i="2"/>
  <c r="A797" i="2"/>
  <c r="A319" i="2"/>
  <c r="A719" i="2"/>
  <c r="A400" i="2"/>
  <c r="A800" i="2"/>
  <c r="A775" i="2"/>
  <c r="A281" i="2"/>
  <c r="A681" i="2"/>
  <c r="A175" i="2"/>
  <c r="A182" i="2"/>
  <c r="A582" i="2"/>
  <c r="A293" i="2"/>
  <c r="A62" i="2"/>
  <c r="A383" i="2"/>
  <c r="A783" i="2"/>
  <c r="A435" i="2"/>
  <c r="A184" i="2"/>
  <c r="A213" i="2"/>
  <c r="A120" i="2"/>
  <c r="A365" i="2"/>
  <c r="A765" i="2"/>
  <c r="A824" i="2"/>
  <c r="A455" i="2"/>
  <c r="A146" i="2"/>
  <c r="A546" i="2"/>
  <c r="A883" i="2"/>
  <c r="A300" i="2"/>
  <c r="A437" i="2"/>
  <c r="A755" i="2"/>
  <c r="A586" i="2"/>
  <c r="A90" i="2"/>
  <c r="A43" i="2"/>
  <c r="A158" i="2"/>
  <c r="A477" i="2"/>
  <c r="A662" i="2"/>
  <c r="A45" i="2"/>
  <c r="A310" i="2"/>
  <c r="A32" i="2"/>
  <c r="A371" i="2"/>
  <c r="A391" i="2"/>
  <c r="A470" i="2"/>
  <c r="A509" i="2"/>
  <c r="A496" i="2"/>
  <c r="A17" i="2"/>
  <c r="A417" i="2"/>
  <c r="A339" i="2"/>
  <c r="A739" i="2"/>
  <c r="A858" i="2"/>
  <c r="A420" i="2"/>
  <c r="A76" i="2"/>
  <c r="A301" i="2"/>
  <c r="A701" i="2"/>
  <c r="A415" i="2"/>
  <c r="A202" i="2"/>
  <c r="A602" i="2"/>
  <c r="A513" i="2"/>
  <c r="A122" i="2"/>
  <c r="A403" i="2"/>
  <c r="A803" i="2"/>
  <c r="A204" i="2"/>
  <c r="A604" i="2"/>
  <c r="A413" i="2"/>
  <c r="A280" i="2"/>
  <c r="A385" i="2"/>
  <c r="A785" i="2"/>
  <c r="A810" i="2"/>
  <c r="A695" i="2"/>
  <c r="A166" i="2"/>
  <c r="A566" i="2"/>
  <c r="A113" i="2"/>
  <c r="A24" i="2"/>
  <c r="A427" i="2"/>
  <c r="A878" i="2"/>
  <c r="A116" i="2"/>
  <c r="A108" i="2"/>
  <c r="A508" i="2"/>
  <c r="A171" i="2"/>
  <c r="A249" i="2"/>
  <c r="A471" i="2"/>
  <c r="A531" i="2"/>
  <c r="A750" i="2"/>
  <c r="A529" i="2"/>
  <c r="A732" i="2"/>
  <c r="A516" i="2"/>
  <c r="A440" i="2"/>
  <c r="A224" i="2"/>
  <c r="A791" i="2"/>
  <c r="A457" i="2"/>
  <c r="A443" i="2"/>
  <c r="A170" i="2"/>
  <c r="A194" i="2"/>
  <c r="A192" i="2"/>
  <c r="A50" i="2"/>
  <c r="A210" i="2"/>
  <c r="A129" i="2"/>
  <c r="A10" i="2"/>
  <c r="A351" i="2"/>
  <c r="A589" i="2"/>
  <c r="A373" i="2"/>
  <c r="A576" i="2"/>
  <c r="A97" i="2"/>
  <c r="A497" i="2"/>
  <c r="A352" i="2"/>
  <c r="A419" i="2"/>
  <c r="A870" i="2"/>
  <c r="A863" i="2"/>
  <c r="A846" i="2"/>
  <c r="A500" i="2"/>
  <c r="A252" i="2"/>
  <c r="A438" i="2"/>
  <c r="A381" i="2"/>
  <c r="A781" i="2"/>
  <c r="A136" i="2"/>
  <c r="A282" i="2"/>
  <c r="A682" i="2"/>
  <c r="A394" i="2"/>
  <c r="A83" i="2"/>
  <c r="A483" i="2"/>
  <c r="A232" i="2"/>
  <c r="A98" i="2"/>
  <c r="A284" i="2"/>
  <c r="A684" i="2"/>
  <c r="A294" i="2"/>
  <c r="A65" i="2"/>
  <c r="A465" i="2"/>
  <c r="A808" i="2"/>
  <c r="A178" i="2"/>
  <c r="A246" i="2"/>
  <c r="A334" i="2"/>
  <c r="A107" i="2"/>
  <c r="A507" i="2"/>
  <c r="A432" i="2"/>
  <c r="A498" i="2"/>
  <c r="A188" i="2"/>
  <c r="A286" i="2"/>
  <c r="A547" i="2"/>
  <c r="A228" i="2"/>
  <c r="C113" i="1"/>
  <c r="C114" i="1" s="1"/>
  <c r="C111" i="3"/>
  <c r="B20" i="3"/>
  <c r="C110" i="3"/>
  <c r="C11" i="3"/>
  <c r="C10" i="3"/>
  <c r="C9" i="3"/>
  <c r="C8" i="3"/>
  <c r="C7" i="3"/>
  <c r="E24" i="1" l="1"/>
  <c r="D110" i="1"/>
  <c r="C112" i="3"/>
  <c r="B21" i="3"/>
  <c r="I4" i="3"/>
  <c r="A149" i="3" l="1"/>
  <c r="A142" i="3"/>
  <c r="A147" i="3"/>
  <c r="A138" i="3"/>
  <c r="A144" i="3"/>
  <c r="A143" i="3"/>
  <c r="A139" i="3"/>
  <c r="A137" i="3"/>
  <c r="A135" i="3"/>
  <c r="A146" i="3"/>
  <c r="A140" i="3"/>
  <c r="A145" i="3"/>
  <c r="A132" i="3"/>
  <c r="A134" i="3"/>
  <c r="A136" i="3"/>
  <c r="A150" i="3"/>
  <c r="A141" i="3"/>
  <c r="A148" i="3"/>
  <c r="A133" i="3"/>
  <c r="C115" i="1"/>
  <c r="C113" i="3"/>
  <c r="A115" i="3"/>
  <c r="A124" i="3"/>
  <c r="A121" i="3"/>
  <c r="A122" i="3"/>
  <c r="A118" i="3"/>
  <c r="A117" i="3"/>
  <c r="A114" i="3"/>
  <c r="A113" i="3"/>
  <c r="A111" i="3"/>
  <c r="A120" i="3"/>
  <c r="A125" i="3"/>
  <c r="A126" i="3"/>
  <c r="A123" i="3"/>
  <c r="A112" i="3"/>
  <c r="A119" i="3"/>
  <c r="A116" i="3"/>
  <c r="B22" i="3"/>
  <c r="A34" i="3"/>
  <c r="A17" i="3"/>
  <c r="A63" i="3"/>
  <c r="A107" i="3"/>
  <c r="A69" i="3"/>
  <c r="A45" i="3"/>
  <c r="A46" i="3"/>
  <c r="A84" i="3"/>
  <c r="A70" i="3"/>
  <c r="A98" i="3"/>
  <c r="A10" i="3"/>
  <c r="A32" i="3"/>
  <c r="A73" i="3"/>
  <c r="A108" i="3"/>
  <c r="A96" i="3"/>
  <c r="A41" i="3"/>
  <c r="A28" i="3"/>
  <c r="A7" i="3"/>
  <c r="A13" i="3"/>
  <c r="A23" i="3"/>
  <c r="A95" i="3"/>
  <c r="A110" i="3"/>
  <c r="A64" i="3"/>
  <c r="A50" i="3"/>
  <c r="A37" i="3"/>
  <c r="A43" i="3"/>
  <c r="A14" i="3"/>
  <c r="H161" i="3"/>
  <c r="H157" i="3"/>
  <c r="H156" i="3"/>
  <c r="H166" i="3"/>
  <c r="H158" i="3"/>
  <c r="H160" i="3"/>
  <c r="A4" i="3"/>
  <c r="H162" i="3"/>
  <c r="H165" i="3"/>
  <c r="H163" i="3"/>
  <c r="H155" i="3"/>
  <c r="H159" i="3"/>
  <c r="H164" i="3"/>
  <c r="A94" i="3"/>
  <c r="A56" i="3"/>
  <c r="A74" i="3"/>
  <c r="A93" i="3"/>
  <c r="A5" i="3"/>
  <c r="A103" i="3"/>
  <c r="A52" i="3"/>
  <c r="A36" i="3"/>
  <c r="A16" i="3"/>
  <c r="A106" i="3"/>
  <c r="A47" i="3"/>
  <c r="A68" i="3"/>
  <c r="A71" i="3"/>
  <c r="A8" i="3"/>
  <c r="A11" i="3"/>
  <c r="A51" i="3"/>
  <c r="A102" i="3"/>
  <c r="A18" i="3"/>
  <c r="A12" i="3"/>
  <c r="A101" i="3"/>
  <c r="A33" i="3"/>
  <c r="A21" i="3"/>
  <c r="A61" i="3"/>
  <c r="A53" i="3"/>
  <c r="A60" i="3"/>
  <c r="A39" i="3"/>
  <c r="A55" i="3"/>
  <c r="A49" i="3"/>
  <c r="A29" i="3"/>
  <c r="A78" i="3"/>
  <c r="A88" i="3"/>
  <c r="A27" i="3"/>
  <c r="A91" i="3"/>
  <c r="A38" i="3"/>
  <c r="A40" i="3"/>
  <c r="A109" i="3"/>
  <c r="A59" i="3"/>
  <c r="A24" i="3"/>
  <c r="A80" i="3"/>
  <c r="A62" i="3"/>
  <c r="A9" i="3"/>
  <c r="A42" i="3"/>
  <c r="A83" i="3"/>
  <c r="A92" i="3"/>
  <c r="A82" i="3"/>
  <c r="A22" i="3"/>
  <c r="A105" i="3"/>
  <c r="A58" i="3"/>
  <c r="A48" i="3"/>
  <c r="A77" i="3"/>
  <c r="A87" i="3"/>
  <c r="A104" i="3"/>
  <c r="A81" i="3"/>
  <c r="A54" i="3"/>
  <c r="A26" i="3"/>
  <c r="A99" i="3"/>
  <c r="A66" i="3"/>
  <c r="A65" i="3"/>
  <c r="A86" i="3"/>
  <c r="A25" i="3"/>
  <c r="A6" i="3"/>
  <c r="A89" i="3"/>
  <c r="A72" i="3"/>
  <c r="A19" i="3"/>
  <c r="A100" i="3"/>
  <c r="A76" i="3"/>
  <c r="A35" i="3"/>
  <c r="A97" i="3"/>
  <c r="A20" i="3"/>
  <c r="A85" i="3"/>
  <c r="A44" i="3"/>
  <c r="A90" i="3"/>
  <c r="A75" i="3"/>
  <c r="A31" i="3"/>
  <c r="A79" i="3"/>
  <c r="A67" i="3"/>
  <c r="A30" i="3"/>
  <c r="A57" i="3"/>
  <c r="A15" i="3"/>
  <c r="C4" i="4"/>
  <c r="C3" i="4"/>
  <c r="D2" i="4"/>
  <c r="D3" i="4" s="1"/>
  <c r="P162" i="3" l="1"/>
  <c r="AL159" i="3"/>
  <c r="AK159" i="3"/>
  <c r="P164" i="3"/>
  <c r="R159" i="3"/>
  <c r="P165" i="3"/>
  <c r="Q162" i="3"/>
  <c r="P161" i="3"/>
  <c r="Q161" i="3"/>
  <c r="AH167" i="3"/>
  <c r="Z167" i="3"/>
  <c r="R167" i="3"/>
  <c r="AY166" i="3"/>
  <c r="AQ166" i="3"/>
  <c r="AH166" i="3"/>
  <c r="Z166" i="3"/>
  <c r="R166" i="3"/>
  <c r="AY165" i="3"/>
  <c r="AQ165" i="3"/>
  <c r="AH165" i="3"/>
  <c r="Z165" i="3"/>
  <c r="R165" i="3"/>
  <c r="AY164" i="3"/>
  <c r="AQ164" i="3"/>
  <c r="AH164" i="3"/>
  <c r="Z164" i="3"/>
  <c r="R164" i="3"/>
  <c r="AY163" i="3"/>
  <c r="AQ163" i="3"/>
  <c r="AH163" i="3"/>
  <c r="Z163" i="3"/>
  <c r="R163" i="3"/>
  <c r="AY162" i="3"/>
  <c r="AQ162" i="3"/>
  <c r="AH162" i="3"/>
  <c r="Z162" i="3"/>
  <c r="R162" i="3"/>
  <c r="AY161" i="3"/>
  <c r="AH161" i="3"/>
  <c r="Z161" i="3"/>
  <c r="R161" i="3"/>
  <c r="AY160" i="3"/>
  <c r="AQ160" i="3"/>
  <c r="AH160" i="3"/>
  <c r="Z160" i="3"/>
  <c r="R160" i="3"/>
  <c r="AY159" i="3"/>
  <c r="AQ159" i="3"/>
  <c r="AH159" i="3"/>
  <c r="Z159" i="3"/>
  <c r="AY158" i="3"/>
  <c r="AQ158" i="3"/>
  <c r="AH158" i="3"/>
  <c r="Z158" i="3"/>
  <c r="R158" i="3"/>
  <c r="AY157" i="3"/>
  <c r="AQ157" i="3"/>
  <c r="AH157" i="3"/>
  <c r="Z157" i="3"/>
  <c r="R157" i="3"/>
  <c r="AY156" i="3"/>
  <c r="AQ156" i="3"/>
  <c r="AG167" i="3"/>
  <c r="Y167" i="3"/>
  <c r="Q167" i="3"/>
  <c r="AX166" i="3"/>
  <c r="AP166" i="3"/>
  <c r="AG166" i="3"/>
  <c r="Y166" i="3"/>
  <c r="AX165" i="3"/>
  <c r="AP165" i="3"/>
  <c r="AG165" i="3"/>
  <c r="Y165" i="3"/>
  <c r="Q165" i="3"/>
  <c r="AX164" i="3"/>
  <c r="AP164" i="3"/>
  <c r="AG164" i="3"/>
  <c r="Y164" i="3"/>
  <c r="Q164" i="3"/>
  <c r="AX163" i="3"/>
  <c r="AP163" i="3"/>
  <c r="AG163" i="3"/>
  <c r="Y163" i="3"/>
  <c r="Q163" i="3"/>
  <c r="AX162" i="3"/>
  <c r="AP162" i="3"/>
  <c r="AG162" i="3"/>
  <c r="Y162" i="3"/>
  <c r="AX161" i="3"/>
  <c r="AG161" i="3"/>
  <c r="Y161" i="3"/>
  <c r="AX160" i="3"/>
  <c r="AP160" i="3"/>
  <c r="AG160" i="3"/>
  <c r="Y160" i="3"/>
  <c r="Q160" i="3"/>
  <c r="AX159" i="3"/>
  <c r="AP159" i="3"/>
  <c r="AG159" i="3"/>
  <c r="Y159" i="3"/>
  <c r="Q159" i="3"/>
  <c r="AX158" i="3"/>
  <c r="AP158" i="3"/>
  <c r="AG158" i="3"/>
  <c r="Y158" i="3"/>
  <c r="Q158" i="3"/>
  <c r="AX157" i="3"/>
  <c r="AP157" i="3"/>
  <c r="AG157" i="3"/>
  <c r="Y157" i="3"/>
  <c r="Q157" i="3"/>
  <c r="AX156" i="3"/>
  <c r="AP156" i="3"/>
  <c r="AG156" i="3"/>
  <c r="Y156" i="3"/>
  <c r="AX155" i="3"/>
  <c r="AP155" i="3"/>
  <c r="AG155" i="3"/>
  <c r="Y155" i="3"/>
  <c r="X155" i="3"/>
  <c r="AR155" i="3"/>
  <c r="AF167" i="3"/>
  <c r="X167" i="3"/>
  <c r="P167" i="3"/>
  <c r="AW166" i="3"/>
  <c r="AO166" i="3"/>
  <c r="AF166" i="3"/>
  <c r="X166" i="3"/>
  <c r="P166" i="3"/>
  <c r="AW165" i="3"/>
  <c r="AO165" i="3"/>
  <c r="AF165" i="3"/>
  <c r="X165" i="3"/>
  <c r="AW164" i="3"/>
  <c r="AO164" i="3"/>
  <c r="AF164" i="3"/>
  <c r="X164" i="3"/>
  <c r="AW163" i="3"/>
  <c r="AO163" i="3"/>
  <c r="AF163" i="3"/>
  <c r="X163" i="3"/>
  <c r="P163" i="3"/>
  <c r="AW162" i="3"/>
  <c r="AO162" i="3"/>
  <c r="AF162" i="3"/>
  <c r="X162" i="3"/>
  <c r="AW161" i="3"/>
  <c r="AO161" i="3"/>
  <c r="AF161" i="3"/>
  <c r="X161" i="3"/>
  <c r="AW160" i="3"/>
  <c r="AO160" i="3"/>
  <c r="AF160" i="3"/>
  <c r="X160" i="3"/>
  <c r="P160" i="3"/>
  <c r="AW159" i="3"/>
  <c r="AO159" i="3"/>
  <c r="AF159" i="3"/>
  <c r="X159" i="3"/>
  <c r="AW158" i="3"/>
  <c r="AO158" i="3"/>
  <c r="AF158" i="3"/>
  <c r="X158" i="3"/>
  <c r="P158" i="3"/>
  <c r="AW157" i="3"/>
  <c r="AO157" i="3"/>
  <c r="AF157" i="3"/>
  <c r="X157" i="3"/>
  <c r="AW156" i="3"/>
  <c r="AO156" i="3"/>
  <c r="AF156" i="3"/>
  <c r="X156" i="3"/>
  <c r="P156" i="3"/>
  <c r="AW155" i="3"/>
  <c r="AO155" i="3"/>
  <c r="AF155" i="3"/>
  <c r="P155" i="3"/>
  <c r="AH156" i="3"/>
  <c r="Z155" i="3"/>
  <c r="AE167" i="3"/>
  <c r="W167" i="3"/>
  <c r="BD166" i="3"/>
  <c r="AV166" i="3"/>
  <c r="AN166" i="3"/>
  <c r="AE166" i="3"/>
  <c r="W166" i="3"/>
  <c r="BD165" i="3"/>
  <c r="AV165" i="3"/>
  <c r="AN165" i="3"/>
  <c r="AE165" i="3"/>
  <c r="W165" i="3"/>
  <c r="BD164" i="3"/>
  <c r="AV164" i="3"/>
  <c r="AN164" i="3"/>
  <c r="AE164" i="3"/>
  <c r="BD163" i="3"/>
  <c r="AV163" i="3"/>
  <c r="AN163" i="3"/>
  <c r="AE163" i="3"/>
  <c r="W163" i="3"/>
  <c r="BD162" i="3"/>
  <c r="AV162" i="3"/>
  <c r="AN162" i="3"/>
  <c r="AE162" i="3"/>
  <c r="W162" i="3"/>
  <c r="BD161" i="3"/>
  <c r="AV161" i="3"/>
  <c r="AN161" i="3"/>
  <c r="AE161" i="3"/>
  <c r="W161" i="3"/>
  <c r="BD160" i="3"/>
  <c r="AV160" i="3"/>
  <c r="AN160" i="3"/>
  <c r="AE160" i="3"/>
  <c r="W160" i="3"/>
  <c r="BD159" i="3"/>
  <c r="AV159" i="3"/>
  <c r="AN159" i="3"/>
  <c r="AE159" i="3"/>
  <c r="W159" i="3"/>
  <c r="BD158" i="3"/>
  <c r="AV158" i="3"/>
  <c r="AN158" i="3"/>
  <c r="AE158" i="3"/>
  <c r="W158" i="3"/>
  <c r="BD157" i="3"/>
  <c r="AV157" i="3"/>
  <c r="AN157" i="3"/>
  <c r="AE157" i="3"/>
  <c r="W157" i="3"/>
  <c r="BD156" i="3"/>
  <c r="AV156" i="3"/>
  <c r="AN156" i="3"/>
  <c r="AE156" i="3"/>
  <c r="W156" i="3"/>
  <c r="BD155" i="3"/>
  <c r="AV155" i="3"/>
  <c r="AE155" i="3"/>
  <c r="W155" i="3"/>
  <c r="AZ166" i="3"/>
  <c r="AZ165" i="3"/>
  <c r="AA164" i="3"/>
  <c r="AI163" i="3"/>
  <c r="AR162" i="3"/>
  <c r="AZ161" i="3"/>
  <c r="S161" i="3"/>
  <c r="AA160" i="3"/>
  <c r="AZ158" i="3"/>
  <c r="S158" i="3"/>
  <c r="S157" i="3"/>
  <c r="AA156" i="3"/>
  <c r="AH155" i="3"/>
  <c r="AD167" i="3"/>
  <c r="V167" i="3"/>
  <c r="BC166" i="3"/>
  <c r="AU166" i="3"/>
  <c r="AM166" i="3"/>
  <c r="AD166" i="3"/>
  <c r="V166" i="3"/>
  <c r="BC165" i="3"/>
  <c r="AM165" i="3"/>
  <c r="AD165" i="3"/>
  <c r="BC164" i="3"/>
  <c r="AU164" i="3"/>
  <c r="AM164" i="3"/>
  <c r="AD164" i="3"/>
  <c r="BC163" i="3"/>
  <c r="AU163" i="3"/>
  <c r="AM163" i="3"/>
  <c r="AD163" i="3"/>
  <c r="V163" i="3"/>
  <c r="BC162" i="3"/>
  <c r="AM162" i="3"/>
  <c r="AD162" i="3"/>
  <c r="V162" i="3"/>
  <c r="BC161" i="3"/>
  <c r="AU161" i="3"/>
  <c r="AM161" i="3"/>
  <c r="AD161" i="3"/>
  <c r="V161" i="3"/>
  <c r="BC160" i="3"/>
  <c r="AU160" i="3"/>
  <c r="AM160" i="3"/>
  <c r="AD160" i="3"/>
  <c r="V160" i="3"/>
  <c r="BC159" i="3"/>
  <c r="AU159" i="3"/>
  <c r="AM159" i="3"/>
  <c r="AD159" i="3"/>
  <c r="V159" i="3"/>
  <c r="BC158" i="3"/>
  <c r="AU158" i="3"/>
  <c r="AM158" i="3"/>
  <c r="AD158" i="3"/>
  <c r="V158" i="3"/>
  <c r="BC157" i="3"/>
  <c r="AU157" i="3"/>
  <c r="AM157" i="3"/>
  <c r="AD157" i="3"/>
  <c r="V157" i="3"/>
  <c r="BC156" i="3"/>
  <c r="AU156" i="3"/>
  <c r="AM156" i="3"/>
  <c r="AD156" i="3"/>
  <c r="V156" i="3"/>
  <c r="BC155" i="3"/>
  <c r="AU155" i="3"/>
  <c r="AM155" i="3"/>
  <c r="AD155" i="3"/>
  <c r="V155" i="3"/>
  <c r="U156" i="3"/>
  <c r="BB155" i="3"/>
  <c r="AT155" i="3"/>
  <c r="AC155" i="3"/>
  <c r="AS155" i="3"/>
  <c r="S167" i="3"/>
  <c r="S166" i="3"/>
  <c r="AA165" i="3"/>
  <c r="AR164" i="3"/>
  <c r="AZ163" i="3"/>
  <c r="S163" i="3"/>
  <c r="AA162" i="3"/>
  <c r="AI161" i="3"/>
  <c r="AR160" i="3"/>
  <c r="AZ159" i="3"/>
  <c r="S159" i="3"/>
  <c r="AA158" i="3"/>
  <c r="AI157" i="3"/>
  <c r="AR156" i="3"/>
  <c r="AZ155" i="3"/>
  <c r="Z156" i="3"/>
  <c r="R155" i="3"/>
  <c r="AC167" i="3"/>
  <c r="U167" i="3"/>
  <c r="BB166" i="3"/>
  <c r="AT166" i="3"/>
  <c r="AC166" i="3"/>
  <c r="U166" i="3"/>
  <c r="BB165" i="3"/>
  <c r="AL165" i="3"/>
  <c r="AC165" i="3"/>
  <c r="U165" i="3"/>
  <c r="BB164" i="3"/>
  <c r="AT164" i="3"/>
  <c r="AL164" i="3"/>
  <c r="AC164" i="3"/>
  <c r="U164" i="3"/>
  <c r="BB163" i="3"/>
  <c r="AT163" i="3"/>
  <c r="AL163" i="3"/>
  <c r="AC163" i="3"/>
  <c r="U163" i="3"/>
  <c r="BB162" i="3"/>
  <c r="AT162" i="3"/>
  <c r="AL162" i="3"/>
  <c r="AC162" i="3"/>
  <c r="U162" i="3"/>
  <c r="BB161" i="3"/>
  <c r="AT161" i="3"/>
  <c r="AL161" i="3"/>
  <c r="AC161" i="3"/>
  <c r="U161" i="3"/>
  <c r="BB160" i="3"/>
  <c r="AT160" i="3"/>
  <c r="AC160" i="3"/>
  <c r="U160" i="3"/>
  <c r="BB159" i="3"/>
  <c r="AT159" i="3"/>
  <c r="AC159" i="3"/>
  <c r="U159" i="3"/>
  <c r="BB158" i="3"/>
  <c r="AT158" i="3"/>
  <c r="AL158" i="3"/>
  <c r="AC158" i="3"/>
  <c r="U158" i="3"/>
  <c r="BB157" i="3"/>
  <c r="AT157" i="3"/>
  <c r="AL157" i="3"/>
  <c r="AC157" i="3"/>
  <c r="U157" i="3"/>
  <c r="BB156" i="3"/>
  <c r="AT156" i="3"/>
  <c r="AL156" i="3"/>
  <c r="AC156" i="3"/>
  <c r="AL155" i="3"/>
  <c r="U155" i="3"/>
  <c r="AB155" i="3"/>
  <c r="AI167" i="3"/>
  <c r="AR166" i="3"/>
  <c r="AA166" i="3"/>
  <c r="AI165" i="3"/>
  <c r="AZ164" i="3"/>
  <c r="S164" i="3"/>
  <c r="AA163" i="3"/>
  <c r="AI162" i="3"/>
  <c r="AZ160" i="3"/>
  <c r="S160" i="3"/>
  <c r="AA159" i="3"/>
  <c r="AI158" i="3"/>
  <c r="AR157" i="3"/>
  <c r="AZ156" i="3"/>
  <c r="AI155" i="3"/>
  <c r="AY155" i="3"/>
  <c r="AB167" i="3"/>
  <c r="T167" i="3"/>
  <c r="BA166" i="3"/>
  <c r="AS166" i="3"/>
  <c r="AK166" i="3"/>
  <c r="AB166" i="3"/>
  <c r="T166" i="3"/>
  <c r="BA165" i="3"/>
  <c r="AK165" i="3"/>
  <c r="AB165" i="3"/>
  <c r="T165" i="3"/>
  <c r="BA164" i="3"/>
  <c r="AS164" i="3"/>
  <c r="AK164" i="3"/>
  <c r="M164" i="3" s="1"/>
  <c r="AB164" i="3"/>
  <c r="T164" i="3"/>
  <c r="BA163" i="3"/>
  <c r="AS163" i="3"/>
  <c r="AK163" i="3"/>
  <c r="M163" i="3" s="1"/>
  <c r="AB163" i="3"/>
  <c r="T163" i="3"/>
  <c r="BA162" i="3"/>
  <c r="AS162" i="3"/>
  <c r="AK162" i="3"/>
  <c r="AB162" i="3"/>
  <c r="T162" i="3"/>
  <c r="BA161" i="3"/>
  <c r="AS161" i="3"/>
  <c r="AK161" i="3"/>
  <c r="AB161" i="3"/>
  <c r="T161" i="3"/>
  <c r="BA160" i="3"/>
  <c r="AS160" i="3"/>
  <c r="AK160" i="3"/>
  <c r="AB160" i="3"/>
  <c r="T160" i="3"/>
  <c r="BA159" i="3"/>
  <c r="AS159" i="3"/>
  <c r="AB159" i="3"/>
  <c r="T159" i="3"/>
  <c r="BA158" i="3"/>
  <c r="AS158" i="3"/>
  <c r="AK158" i="3"/>
  <c r="AB158" i="3"/>
  <c r="T158" i="3"/>
  <c r="BA157" i="3"/>
  <c r="AS157" i="3"/>
  <c r="AB157" i="3"/>
  <c r="T157" i="3"/>
  <c r="BA156" i="3"/>
  <c r="AS156" i="3"/>
  <c r="AK156" i="3"/>
  <c r="AB156" i="3"/>
  <c r="T156" i="3"/>
  <c r="BA155" i="3"/>
  <c r="AK155" i="3"/>
  <c r="T155" i="3"/>
  <c r="AA167" i="3"/>
  <c r="AI166" i="3"/>
  <c r="S165" i="3"/>
  <c r="AI164" i="3"/>
  <c r="AR163" i="3"/>
  <c r="AZ162" i="3"/>
  <c r="S162" i="3"/>
  <c r="AA161" i="3"/>
  <c r="AI160" i="3"/>
  <c r="AI159" i="3"/>
  <c r="AR158" i="3"/>
  <c r="AZ157" i="3"/>
  <c r="AA157" i="3"/>
  <c r="AI156" i="3"/>
  <c r="AA155" i="3"/>
  <c r="AQ155" i="3"/>
  <c r="C116" i="1"/>
  <c r="C114" i="3"/>
  <c r="B23" i="3"/>
  <c r="H167" i="3"/>
  <c r="D4" i="4"/>
  <c r="D5" i="4" s="1"/>
  <c r="E5" i="4" s="1"/>
  <c r="E3" i="4"/>
  <c r="V164" i="3" l="1"/>
  <c r="AR165" i="3"/>
  <c r="AS165" i="3"/>
  <c r="C117" i="1"/>
  <c r="C115" i="3"/>
  <c r="B24" i="3"/>
  <c r="I162" i="3"/>
  <c r="I163" i="3"/>
  <c r="I161" i="3"/>
  <c r="M156" i="3"/>
  <c r="I160" i="3"/>
  <c r="M158" i="3"/>
  <c r="E4" i="4"/>
  <c r="W164" i="3" l="1"/>
  <c r="C118" i="1"/>
  <c r="C116" i="3"/>
  <c r="AP161" i="3" s="1"/>
  <c r="B25" i="3"/>
  <c r="Q511" i="2"/>
  <c r="E115" i="1" l="1"/>
  <c r="D114" i="3" s="1"/>
  <c r="E93" i="1"/>
  <c r="E69" i="1"/>
  <c r="D68" i="3" s="1"/>
  <c r="E40" i="1"/>
  <c r="D39" i="3" s="1"/>
  <c r="E114" i="1"/>
  <c r="D113" i="3" s="1"/>
  <c r="E92" i="1"/>
  <c r="E37" i="1"/>
  <c r="D36" i="3" s="1"/>
  <c r="E112" i="1"/>
  <c r="D111" i="3" s="1"/>
  <c r="E90" i="1"/>
  <c r="E65" i="1"/>
  <c r="D64" i="3" s="1"/>
  <c r="E36" i="1"/>
  <c r="D35" i="3" s="1"/>
  <c r="E82" i="1"/>
  <c r="D81" i="3" s="1"/>
  <c r="E17" i="1"/>
  <c r="D16" i="3" s="1"/>
  <c r="E101" i="1"/>
  <c r="E8" i="1"/>
  <c r="D7" i="3" s="1"/>
  <c r="E73" i="1"/>
  <c r="D72" i="3" s="1"/>
  <c r="E72" i="1"/>
  <c r="D71" i="3" s="1"/>
  <c r="E67" i="1"/>
  <c r="D66" i="3" s="1"/>
  <c r="E111" i="1"/>
  <c r="E118" i="3" s="1"/>
  <c r="E89" i="1"/>
  <c r="E64" i="1"/>
  <c r="D63" i="3" s="1"/>
  <c r="E35" i="1"/>
  <c r="D34" i="3" s="1"/>
  <c r="E27" i="1"/>
  <c r="D26" i="3" s="1"/>
  <c r="E79" i="1"/>
  <c r="D78" i="3" s="1"/>
  <c r="E78" i="1"/>
  <c r="D77" i="3" s="1"/>
  <c r="E52" i="1"/>
  <c r="D51" i="3" s="1"/>
  <c r="E51" i="1"/>
  <c r="D50" i="3" s="1"/>
  <c r="E96" i="1"/>
  <c r="E41" i="1"/>
  <c r="D40" i="3" s="1"/>
  <c r="E110" i="1"/>
  <c r="F110" i="1" s="1"/>
  <c r="E88" i="1"/>
  <c r="E63" i="1"/>
  <c r="D62" i="3" s="1"/>
  <c r="E34" i="1"/>
  <c r="D33" i="3" s="1"/>
  <c r="E84" i="1"/>
  <c r="D83" i="3" s="1"/>
  <c r="E56" i="1"/>
  <c r="D55" i="3" s="1"/>
  <c r="E102" i="1"/>
  <c r="E75" i="1"/>
  <c r="D74" i="3" s="1"/>
  <c r="E7" i="1"/>
  <c r="E45" i="1"/>
  <c r="E43" i="1"/>
  <c r="D42" i="3" s="1"/>
  <c r="E39" i="1"/>
  <c r="D38" i="3" s="1"/>
  <c r="E66" i="1"/>
  <c r="D65" i="3" s="1"/>
  <c r="E109" i="1"/>
  <c r="E87" i="1"/>
  <c r="E61" i="1"/>
  <c r="D60" i="3" s="1"/>
  <c r="E30" i="1"/>
  <c r="D29" i="3" s="1"/>
  <c r="E59" i="1"/>
  <c r="D58" i="3" s="1"/>
  <c r="E118" i="1"/>
  <c r="D117" i="3" s="1"/>
  <c r="E113" i="1"/>
  <c r="D112" i="3" s="1"/>
  <c r="E108" i="1"/>
  <c r="E85" i="1"/>
  <c r="E60" i="1"/>
  <c r="D59" i="3" s="1"/>
  <c r="E29" i="1"/>
  <c r="D28" i="3" s="1"/>
  <c r="E107" i="1"/>
  <c r="E12" i="1"/>
  <c r="D11" i="3" s="1"/>
  <c r="E77" i="1"/>
  <c r="D76" i="3" s="1"/>
  <c r="E74" i="1"/>
  <c r="D73" i="3" s="1"/>
  <c r="E95" i="1"/>
  <c r="E117" i="1"/>
  <c r="D116" i="3" s="1"/>
  <c r="E105" i="1"/>
  <c r="E83" i="1"/>
  <c r="D82" i="3" s="1"/>
  <c r="E57" i="1"/>
  <c r="D56" i="3" s="1"/>
  <c r="E23" i="1"/>
  <c r="D22" i="3" s="1"/>
  <c r="E104" i="1"/>
  <c r="E20" i="1"/>
  <c r="D19" i="3" s="1"/>
  <c r="E53" i="1"/>
  <c r="D52" i="3" s="1"/>
  <c r="E10" i="1"/>
  <c r="D9" i="3" s="1"/>
  <c r="E97" i="1"/>
  <c r="E46" i="1"/>
  <c r="D45" i="3" s="1"/>
  <c r="E94" i="1"/>
  <c r="E103" i="1"/>
  <c r="D80" i="3"/>
  <c r="E55" i="1"/>
  <c r="D54" i="3" s="1"/>
  <c r="E18" i="1"/>
  <c r="D17" i="3" s="1"/>
  <c r="E54" i="1"/>
  <c r="D53" i="3" s="1"/>
  <c r="E100" i="1"/>
  <c r="E98" i="1"/>
  <c r="E70" i="1"/>
  <c r="D69" i="3" s="1"/>
  <c r="E116" i="1"/>
  <c r="D115" i="3" s="1"/>
  <c r="D6" i="1"/>
  <c r="C119" i="1"/>
  <c r="E119" i="1" s="1"/>
  <c r="D118" i="3" s="1"/>
  <c r="C117" i="3"/>
  <c r="B26" i="3"/>
  <c r="E99" i="1"/>
  <c r="D91" i="1"/>
  <c r="E58" i="1"/>
  <c r="D57" i="3" s="1"/>
  <c r="E50" i="1"/>
  <c r="D49" i="3" s="1"/>
  <c r="E42" i="1"/>
  <c r="D41" i="3" s="1"/>
  <c r="E26" i="1"/>
  <c r="D25" i="3" s="1"/>
  <c r="D84" i="1"/>
  <c r="D75" i="1"/>
  <c r="D67" i="1"/>
  <c r="D59" i="1"/>
  <c r="D51" i="1"/>
  <c r="D43" i="1"/>
  <c r="D35" i="1"/>
  <c r="D27" i="1"/>
  <c r="D19" i="1"/>
  <c r="D11" i="1"/>
  <c r="D83" i="1"/>
  <c r="D34" i="1"/>
  <c r="E106" i="1"/>
  <c r="E80" i="1"/>
  <c r="D80" i="1" s="1"/>
  <c r="F80" i="1" s="1"/>
  <c r="E48" i="1"/>
  <c r="D47" i="3" s="1"/>
  <c r="E32" i="1"/>
  <c r="D31" i="3" s="1"/>
  <c r="D23" i="3"/>
  <c r="E16" i="1"/>
  <c r="D15" i="3" s="1"/>
  <c r="D82" i="1"/>
  <c r="D73" i="1"/>
  <c r="D65" i="1"/>
  <c r="D57" i="1"/>
  <c r="D49" i="1"/>
  <c r="D41" i="1"/>
  <c r="D33" i="1"/>
  <c r="D25" i="1"/>
  <c r="D17" i="1"/>
  <c r="D9" i="1"/>
  <c r="D72" i="1"/>
  <c r="D56" i="1"/>
  <c r="D48" i="1"/>
  <c r="D32" i="1"/>
  <c r="D16" i="1"/>
  <c r="D62" i="1"/>
  <c r="D38" i="1"/>
  <c r="D14" i="1"/>
  <c r="D36" i="1"/>
  <c r="D98" i="1"/>
  <c r="E49" i="1"/>
  <c r="D48" i="3" s="1"/>
  <c r="E9" i="1"/>
  <c r="D8" i="3" s="1"/>
  <c r="D50" i="1"/>
  <c r="D10" i="1"/>
  <c r="D104" i="1"/>
  <c r="D96" i="1"/>
  <c r="E71" i="1"/>
  <c r="E47" i="1"/>
  <c r="D46" i="3" s="1"/>
  <c r="E31" i="1"/>
  <c r="D30" i="3" s="1"/>
  <c r="E15" i="1"/>
  <c r="D14" i="3" s="1"/>
  <c r="D64" i="1"/>
  <c r="D40" i="1"/>
  <c r="D24" i="1"/>
  <c r="D8" i="1"/>
  <c r="D54" i="1"/>
  <c r="D22" i="1"/>
  <c r="D12" i="1"/>
  <c r="E33" i="1"/>
  <c r="D32" i="3" s="1"/>
  <c r="D74" i="1"/>
  <c r="D42" i="1"/>
  <c r="D95" i="1"/>
  <c r="D87" i="1"/>
  <c r="E62" i="1"/>
  <c r="D61" i="3" s="1"/>
  <c r="E38" i="1"/>
  <c r="D37" i="3" s="1"/>
  <c r="E22" i="1"/>
  <c r="D21" i="3" s="1"/>
  <c r="E14" i="1"/>
  <c r="D13" i="3" s="1"/>
  <c r="E6" i="1"/>
  <c r="D5" i="3" s="1"/>
  <c r="D79" i="1"/>
  <c r="D71" i="1"/>
  <c r="D63" i="1"/>
  <c r="D55" i="1"/>
  <c r="D47" i="1"/>
  <c r="D39" i="1"/>
  <c r="D31" i="1"/>
  <c r="D23" i="1"/>
  <c r="D15" i="1"/>
  <c r="D94" i="1"/>
  <c r="E86" i="1"/>
  <c r="D86" i="1" s="1"/>
  <c r="F86" i="1" s="1"/>
  <c r="E21" i="1"/>
  <c r="D20" i="3" s="1"/>
  <c r="E13" i="1"/>
  <c r="D12" i="3" s="1"/>
  <c r="E5" i="1"/>
  <c r="D78" i="1"/>
  <c r="D70" i="1"/>
  <c r="D46" i="1"/>
  <c r="D30" i="1"/>
  <c r="D20" i="1"/>
  <c r="D90" i="1"/>
  <c r="D58" i="1"/>
  <c r="D18" i="1"/>
  <c r="D109" i="1"/>
  <c r="D93" i="1"/>
  <c r="E76" i="1"/>
  <c r="D75" i="3" s="1"/>
  <c r="E68" i="1"/>
  <c r="D67" i="3" s="1"/>
  <c r="E44" i="1"/>
  <c r="D43" i="3" s="1"/>
  <c r="E28" i="1"/>
  <c r="D27" i="3" s="1"/>
  <c r="D77" i="1"/>
  <c r="D69" i="1"/>
  <c r="D61" i="1"/>
  <c r="D53" i="1"/>
  <c r="D45" i="1"/>
  <c r="D37" i="1"/>
  <c r="D29" i="1"/>
  <c r="D21" i="1"/>
  <c r="D13" i="1"/>
  <c r="D5" i="1"/>
  <c r="D102" i="1"/>
  <c r="D108" i="1"/>
  <c r="D92" i="1"/>
  <c r="E19" i="1"/>
  <c r="D18" i="3" s="1"/>
  <c r="E11" i="1"/>
  <c r="D10" i="3" s="1"/>
  <c r="D76" i="1"/>
  <c r="D68" i="1"/>
  <c r="D60" i="1"/>
  <c r="D52" i="1"/>
  <c r="D44" i="1"/>
  <c r="D28" i="1"/>
  <c r="E25" i="1"/>
  <c r="D24" i="3" s="1"/>
  <c r="D66" i="1"/>
  <c r="D26" i="1"/>
  <c r="C22" i="3"/>
  <c r="C21" i="3"/>
  <c r="C20" i="3"/>
  <c r="C19" i="3"/>
  <c r="I158" i="3" s="1"/>
  <c r="C18" i="3"/>
  <c r="C17" i="3"/>
  <c r="C16" i="3"/>
  <c r="C15" i="3"/>
  <c r="C14" i="3"/>
  <c r="C13" i="3"/>
  <c r="C12" i="3"/>
  <c r="C5" i="3"/>
  <c r="C4" i="3"/>
  <c r="P157" i="3" l="1"/>
  <c r="I157" i="3" s="1"/>
  <c r="AK157" i="3"/>
  <c r="M157" i="3" s="1"/>
  <c r="F12" i="1"/>
  <c r="F93" i="1"/>
  <c r="F95" i="1"/>
  <c r="G95" i="1" s="1"/>
  <c r="E94" i="3" s="1"/>
  <c r="F109" i="1"/>
  <c r="G109" i="1" s="1"/>
  <c r="E108" i="3" s="1"/>
  <c r="F108" i="1"/>
  <c r="G108" i="1" s="1"/>
  <c r="E107" i="3" s="1"/>
  <c r="F92" i="1"/>
  <c r="F90" i="1"/>
  <c r="F91" i="1"/>
  <c r="F87" i="1"/>
  <c r="G87" i="1" s="1"/>
  <c r="E86" i="3" s="1"/>
  <c r="F94" i="1"/>
  <c r="F96" i="1"/>
  <c r="F104" i="1"/>
  <c r="G104" i="1" s="1"/>
  <c r="H104" i="1" s="1"/>
  <c r="F103" i="3" s="1"/>
  <c r="F102" i="1"/>
  <c r="G102" i="1" s="1"/>
  <c r="H102" i="1" s="1"/>
  <c r="F101" i="3" s="1"/>
  <c r="D116" i="1"/>
  <c r="F116" i="1" s="1"/>
  <c r="G116" i="1" s="1"/>
  <c r="H116" i="1" s="1"/>
  <c r="F115" i="3" s="1"/>
  <c r="D114" i="1"/>
  <c r="F114" i="1" s="1"/>
  <c r="G114" i="1" s="1"/>
  <c r="D113" i="1"/>
  <c r="F113" i="1" s="1"/>
  <c r="G113" i="1" s="1"/>
  <c r="E112" i="3" s="1"/>
  <c r="D119" i="1"/>
  <c r="F119" i="1" s="1"/>
  <c r="G119" i="1" s="1"/>
  <c r="D117" i="1"/>
  <c r="F117" i="1" s="1"/>
  <c r="G117" i="1" s="1"/>
  <c r="E116" i="3" s="1"/>
  <c r="D112" i="1"/>
  <c r="F112" i="1" s="1"/>
  <c r="G112" i="1" s="1"/>
  <c r="E111" i="3" s="1"/>
  <c r="C120" i="1"/>
  <c r="E120" i="1" s="1"/>
  <c r="C118" i="3"/>
  <c r="AL160" i="3" s="1"/>
  <c r="M160" i="3" s="1"/>
  <c r="D118" i="1"/>
  <c r="F118" i="1" s="1"/>
  <c r="G118" i="1" s="1"/>
  <c r="D115" i="1"/>
  <c r="F115" i="1" s="1"/>
  <c r="G115" i="1" s="1"/>
  <c r="B29" i="1"/>
  <c r="B27" i="3"/>
  <c r="F64" i="1"/>
  <c r="F26" i="1"/>
  <c r="F46" i="1"/>
  <c r="G46" i="1" s="1"/>
  <c r="E45" i="3" s="1"/>
  <c r="D7" i="1"/>
  <c r="F7" i="1" s="1"/>
  <c r="F74" i="1"/>
  <c r="F10" i="1"/>
  <c r="F66" i="1"/>
  <c r="F58" i="1"/>
  <c r="F42" i="1"/>
  <c r="G42" i="1" s="1"/>
  <c r="E41" i="3" s="1"/>
  <c r="F8" i="1"/>
  <c r="F16" i="1"/>
  <c r="I164" i="3"/>
  <c r="F72" i="1"/>
  <c r="F41" i="1"/>
  <c r="F18" i="1"/>
  <c r="F5" i="1"/>
  <c r="F29" i="1"/>
  <c r="F30" i="1"/>
  <c r="F55" i="1"/>
  <c r="F56" i="1"/>
  <c r="F37" i="1"/>
  <c r="F69" i="1"/>
  <c r="F44" i="1"/>
  <c r="F76" i="1"/>
  <c r="F45" i="1"/>
  <c r="F71" i="1"/>
  <c r="F78" i="1"/>
  <c r="F47" i="1"/>
  <c r="F48" i="1"/>
  <c r="F82" i="1"/>
  <c r="F67" i="1"/>
  <c r="F81" i="1"/>
  <c r="F53" i="1"/>
  <c r="F60" i="1"/>
  <c r="F52" i="1"/>
  <c r="F49" i="1"/>
  <c r="F57" i="1"/>
  <c r="F63" i="1"/>
  <c r="F14" i="1"/>
  <c r="F73" i="1"/>
  <c r="F21" i="1"/>
  <c r="F15" i="1"/>
  <c r="F79" i="1"/>
  <c r="F24" i="1"/>
  <c r="F23" i="1"/>
  <c r="G23" i="1" s="1"/>
  <c r="E22" i="3" s="1"/>
  <c r="F28" i="1"/>
  <c r="F20" i="1"/>
  <c r="F31" i="1"/>
  <c r="F40" i="1"/>
  <c r="F38" i="1"/>
  <c r="F65" i="1"/>
  <c r="F11" i="1"/>
  <c r="F75" i="1"/>
  <c r="F6" i="1"/>
  <c r="F39" i="1"/>
  <c r="F50" i="1"/>
  <c r="G50" i="1" s="1"/>
  <c r="E49" i="3" s="1"/>
  <c r="F62" i="1"/>
  <c r="F9" i="1"/>
  <c r="F19" i="1"/>
  <c r="F84" i="1"/>
  <c r="F68" i="1"/>
  <c r="F61" i="1"/>
  <c r="F17" i="1"/>
  <c r="F34" i="1"/>
  <c r="F27" i="1"/>
  <c r="G27" i="1" s="1"/>
  <c r="E26" i="3" s="1"/>
  <c r="F25" i="1"/>
  <c r="F83" i="1"/>
  <c r="F35" i="1"/>
  <c r="G35" i="1" s="1"/>
  <c r="E34" i="3" s="1"/>
  <c r="F13" i="1"/>
  <c r="G13" i="1" s="1"/>
  <c r="E12" i="3" s="1"/>
  <c r="F77" i="1"/>
  <c r="F70" i="1"/>
  <c r="F22" i="1"/>
  <c r="G22" i="1" s="1"/>
  <c r="E21" i="3" s="1"/>
  <c r="F32" i="1"/>
  <c r="G32" i="1" s="1"/>
  <c r="E31" i="3" s="1"/>
  <c r="F33" i="1"/>
  <c r="F43" i="1"/>
  <c r="F54" i="1"/>
  <c r="F51" i="1"/>
  <c r="F36" i="1"/>
  <c r="F59" i="1"/>
  <c r="D79" i="3"/>
  <c r="D94" i="3"/>
  <c r="D90" i="3"/>
  <c r="D91" i="3"/>
  <c r="D107" i="3"/>
  <c r="D103" i="3"/>
  <c r="D93" i="3"/>
  <c r="D101" i="3"/>
  <c r="D89" i="3"/>
  <c r="D108" i="3"/>
  <c r="D92" i="3"/>
  <c r="D85" i="3"/>
  <c r="D86" i="3"/>
  <c r="D97" i="3"/>
  <c r="G98" i="1"/>
  <c r="E97" i="3" s="1"/>
  <c r="G86" i="1"/>
  <c r="E85" i="3" s="1"/>
  <c r="B5" i="3"/>
  <c r="I1" i="1"/>
  <c r="H1" i="1"/>
  <c r="E103" i="3" l="1"/>
  <c r="E115" i="3"/>
  <c r="H113" i="1"/>
  <c r="F112" i="3" s="1"/>
  <c r="H117" i="1"/>
  <c r="F116" i="3" s="1"/>
  <c r="C121" i="1"/>
  <c r="E121" i="1" s="1"/>
  <c r="C119" i="3"/>
  <c r="AT165" i="3" s="1"/>
  <c r="H118" i="1"/>
  <c r="F117" i="3" s="1"/>
  <c r="E117" i="3"/>
  <c r="H114" i="1"/>
  <c r="F113" i="3" s="1"/>
  <c r="E113" i="3"/>
  <c r="H115" i="1"/>
  <c r="F114" i="3" s="1"/>
  <c r="H119" i="1"/>
  <c r="F118" i="3" s="1"/>
  <c r="B28" i="3"/>
  <c r="E101" i="3"/>
  <c r="H108" i="1"/>
  <c r="F107" i="3" s="1"/>
  <c r="H109" i="1"/>
  <c r="F108" i="3" s="1"/>
  <c r="H112" i="1"/>
  <c r="F111" i="3" s="1"/>
  <c r="H98" i="1"/>
  <c r="F97" i="3" s="1"/>
  <c r="H87" i="1"/>
  <c r="F86" i="3" s="1"/>
  <c r="G91" i="1"/>
  <c r="E90" i="3" s="1"/>
  <c r="G94" i="1"/>
  <c r="E93" i="3" s="1"/>
  <c r="G90" i="1"/>
  <c r="E89" i="3" s="1"/>
  <c r="G93" i="1"/>
  <c r="E92" i="3" s="1"/>
  <c r="G96" i="1"/>
  <c r="E95" i="3" s="1"/>
  <c r="H86" i="1"/>
  <c r="F85" i="3" s="1"/>
  <c r="H95" i="1"/>
  <c r="F94" i="3" s="1"/>
  <c r="G92" i="1"/>
  <c r="E91" i="3" s="1"/>
  <c r="G29" i="1"/>
  <c r="E28" i="3" s="1"/>
  <c r="G9" i="1"/>
  <c r="E8" i="3" s="1"/>
  <c r="G10" i="1"/>
  <c r="E9" i="3" s="1"/>
  <c r="G26" i="1"/>
  <c r="E25" i="3" s="1"/>
  <c r="G61" i="1"/>
  <c r="E60" i="3" s="1"/>
  <c r="G77" i="1"/>
  <c r="E76" i="3" s="1"/>
  <c r="G58" i="1"/>
  <c r="E57" i="3" s="1"/>
  <c r="G70" i="1"/>
  <c r="E69" i="3" s="1"/>
  <c r="G14" i="1"/>
  <c r="E13" i="3" s="1"/>
  <c r="G59" i="1"/>
  <c r="E58" i="3" s="1"/>
  <c r="G56" i="1"/>
  <c r="E55" i="3" s="1"/>
  <c r="G57" i="1"/>
  <c r="E56" i="3" s="1"/>
  <c r="G45" i="1"/>
  <c r="E44" i="3" s="1"/>
  <c r="G39" i="1"/>
  <c r="E38" i="3" s="1"/>
  <c r="G71" i="1"/>
  <c r="E70" i="3" s="1"/>
  <c r="G6" i="1"/>
  <c r="E5" i="3" s="1"/>
  <c r="G67" i="1"/>
  <c r="E66" i="3" s="1"/>
  <c r="G66" i="1"/>
  <c r="E65" i="3" s="1"/>
  <c r="G55" i="1"/>
  <c r="E54" i="3" s="1"/>
  <c r="G47" i="1"/>
  <c r="E46" i="3" s="1"/>
  <c r="G78" i="1"/>
  <c r="E77" i="3" s="1"/>
  <c r="G64" i="1"/>
  <c r="E63" i="3" s="1"/>
  <c r="G43" i="1"/>
  <c r="E42" i="3" s="1"/>
  <c r="G33" i="1"/>
  <c r="E32" i="3" s="1"/>
  <c r="G69" i="1"/>
  <c r="E68" i="3" s="1"/>
  <c r="G62" i="1"/>
  <c r="E61" i="3" s="1"/>
  <c r="G74" i="1"/>
  <c r="E73" i="3" s="1"/>
  <c r="G51" i="1"/>
  <c r="E50" i="3" s="1"/>
  <c r="G38" i="1"/>
  <c r="E37" i="3" s="1"/>
  <c r="G17" i="1"/>
  <c r="E16" i="3" s="1"/>
  <c r="G36" i="1"/>
  <c r="E35" i="3" s="1"/>
  <c r="G19" i="1"/>
  <c r="E18" i="3" s="1"/>
  <c r="G63" i="1"/>
  <c r="E62" i="3" s="1"/>
  <c r="G79" i="1"/>
  <c r="E78" i="3" s="1"/>
  <c r="G65" i="1"/>
  <c r="E64" i="3" s="1"/>
  <c r="G49" i="1"/>
  <c r="E48" i="3" s="1"/>
  <c r="G37" i="1"/>
  <c r="E36" i="3" s="1"/>
  <c r="G53" i="1"/>
  <c r="E52" i="3" s="1"/>
  <c r="G41" i="1"/>
  <c r="E40" i="3" s="1"/>
  <c r="G76" i="1"/>
  <c r="E75" i="3" s="1"/>
  <c r="G54" i="1"/>
  <c r="E53" i="3" s="1"/>
  <c r="G72" i="1"/>
  <c r="E71" i="3" s="1"/>
  <c r="G73" i="1"/>
  <c r="E72" i="3" s="1"/>
  <c r="G34" i="1"/>
  <c r="E33" i="3" s="1"/>
  <c r="G75" i="1"/>
  <c r="E74" i="3" s="1"/>
  <c r="G28" i="1"/>
  <c r="E27" i="3" s="1"/>
  <c r="G30" i="1"/>
  <c r="E29" i="3" s="1"/>
  <c r="G44" i="1"/>
  <c r="E43" i="3" s="1"/>
  <c r="G52" i="1"/>
  <c r="E51" i="3" s="1"/>
  <c r="G40" i="1"/>
  <c r="E39" i="3" s="1"/>
  <c r="G48" i="1"/>
  <c r="E47" i="3" s="1"/>
  <c r="G68" i="1"/>
  <c r="E67" i="3" s="1"/>
  <c r="G60" i="1"/>
  <c r="E59" i="3" s="1"/>
  <c r="G20" i="1"/>
  <c r="E19" i="3" s="1"/>
  <c r="G7" i="1"/>
  <c r="G18" i="1"/>
  <c r="G25" i="1"/>
  <c r="E24" i="3" s="1"/>
  <c r="G12" i="1"/>
  <c r="E11" i="3" s="1"/>
  <c r="G11" i="1"/>
  <c r="E10" i="3" s="1"/>
  <c r="G15" i="1"/>
  <c r="E14" i="3" s="1"/>
  <c r="E20" i="3"/>
  <c r="G24" i="1"/>
  <c r="E23" i="3" s="1"/>
  <c r="G16" i="1"/>
  <c r="E15" i="3" s="1"/>
  <c r="G5" i="1"/>
  <c r="G8" i="1"/>
  <c r="E7" i="3" s="1"/>
  <c r="V165" i="3" l="1"/>
  <c r="I165" i="3" s="1"/>
  <c r="AU165" i="3"/>
  <c r="M165" i="3" s="1"/>
  <c r="D119" i="3"/>
  <c r="D120" i="1"/>
  <c r="F120" i="1" s="1"/>
  <c r="C122" i="1"/>
  <c r="C120" i="3"/>
  <c r="AQ161" i="3" s="1"/>
  <c r="D120" i="3"/>
  <c r="B29" i="3"/>
  <c r="H93" i="1"/>
  <c r="F92" i="3" s="1"/>
  <c r="H90" i="1"/>
  <c r="F89" i="3" s="1"/>
  <c r="H92" i="1"/>
  <c r="F91" i="3" s="1"/>
  <c r="H91" i="1"/>
  <c r="H96" i="1"/>
  <c r="F95" i="3" s="1"/>
  <c r="H94" i="1"/>
  <c r="F93" i="3" s="1"/>
  <c r="G31" i="1"/>
  <c r="E30" i="3" s="1"/>
  <c r="G84" i="1"/>
  <c r="E83" i="3" s="1"/>
  <c r="G83" i="1"/>
  <c r="E82" i="3" s="1"/>
  <c r="G80" i="1"/>
  <c r="E79" i="3" s="1"/>
  <c r="G81" i="1"/>
  <c r="E80" i="3" s="1"/>
  <c r="G82" i="1"/>
  <c r="E81" i="3" s="1"/>
  <c r="H40" i="1"/>
  <c r="F39" i="3" s="1"/>
  <c r="H67" i="1"/>
  <c r="F66" i="3" s="1"/>
  <c r="H54" i="1"/>
  <c r="F53" i="3" s="1"/>
  <c r="E4" i="3"/>
  <c r="H66" i="1"/>
  <c r="F65" i="3" s="1"/>
  <c r="H78" i="1"/>
  <c r="F77" i="3" s="1"/>
  <c r="H19" i="1"/>
  <c r="F18" i="3" s="1"/>
  <c r="H45" i="1"/>
  <c r="F44" i="3" s="1"/>
  <c r="H77" i="1"/>
  <c r="F76" i="3" s="1"/>
  <c r="H49" i="1"/>
  <c r="F48" i="3" s="1"/>
  <c r="H52" i="1"/>
  <c r="F51" i="3" s="1"/>
  <c r="H17" i="1"/>
  <c r="F16" i="3" s="1"/>
  <c r="H12" i="1"/>
  <c r="F11" i="3" s="1"/>
  <c r="H29" i="1"/>
  <c r="F28" i="3" s="1"/>
  <c r="H44" i="1"/>
  <c r="F43" i="3" s="1"/>
  <c r="H26" i="1"/>
  <c r="F25" i="3" s="1"/>
  <c r="H65" i="1"/>
  <c r="F64" i="3" s="1"/>
  <c r="H59" i="1"/>
  <c r="F58" i="3" s="1"/>
  <c r="H63" i="1"/>
  <c r="F62" i="3" s="1"/>
  <c r="H43" i="1"/>
  <c r="F42" i="3" s="1"/>
  <c r="H70" i="1"/>
  <c r="F69" i="3" s="1"/>
  <c r="H48" i="1"/>
  <c r="F47" i="3" s="1"/>
  <c r="H58" i="1"/>
  <c r="F57" i="3" s="1"/>
  <c r="H32" i="1"/>
  <c r="F31" i="3" s="1"/>
  <c r="H21" i="1"/>
  <c r="F20" i="3" s="1"/>
  <c r="H71" i="1"/>
  <c r="F70" i="3" s="1"/>
  <c r="H79" i="1"/>
  <c r="F78" i="3" s="1"/>
  <c r="H61" i="1"/>
  <c r="F60" i="3" s="1"/>
  <c r="H75" i="1"/>
  <c r="F74" i="3" s="1"/>
  <c r="H18" i="1"/>
  <c r="F17" i="3" s="1"/>
  <c r="H42" i="1"/>
  <c r="F41" i="3" s="1"/>
  <c r="H51" i="1"/>
  <c r="F50" i="3" s="1"/>
  <c r="H73" i="1"/>
  <c r="F72" i="3" s="1"/>
  <c r="H9" i="1"/>
  <c r="F8" i="3" s="1"/>
  <c r="H35" i="1"/>
  <c r="F34" i="3" s="1"/>
  <c r="H68" i="1"/>
  <c r="F67" i="3" s="1"/>
  <c r="H56" i="1"/>
  <c r="F55" i="3" s="1"/>
  <c r="H39" i="1"/>
  <c r="F38" i="3" s="1"/>
  <c r="H8" i="1"/>
  <c r="F7" i="3" s="1"/>
  <c r="H64" i="1"/>
  <c r="F63" i="3" s="1"/>
  <c r="H6" i="1"/>
  <c r="F5" i="3" s="1"/>
  <c r="H50" i="1"/>
  <c r="F49" i="3" s="1"/>
  <c r="H25" i="1"/>
  <c r="F24" i="3" s="1"/>
  <c r="H23" i="1"/>
  <c r="F22" i="3" s="1"/>
  <c r="H41" i="1"/>
  <c r="F40" i="3" s="1"/>
  <c r="H33" i="1"/>
  <c r="F32" i="3" s="1"/>
  <c r="H76" i="1"/>
  <c r="F75" i="3" s="1"/>
  <c r="H57" i="1"/>
  <c r="F56" i="3" s="1"/>
  <c r="H37" i="1"/>
  <c r="F36" i="3" s="1"/>
  <c r="H16" i="1"/>
  <c r="F15" i="3" s="1"/>
  <c r="H53" i="1"/>
  <c r="F52" i="3" s="1"/>
  <c r="H10" i="1"/>
  <c r="F9" i="3" s="1"/>
  <c r="H27" i="1"/>
  <c r="F26" i="3" s="1"/>
  <c r="H60" i="1"/>
  <c r="F59" i="3" s="1"/>
  <c r="H15" i="1"/>
  <c r="F14" i="3" s="1"/>
  <c r="H55" i="1"/>
  <c r="F54" i="3" s="1"/>
  <c r="H28" i="1"/>
  <c r="F27" i="3" s="1"/>
  <c r="H30" i="1"/>
  <c r="F29" i="3" s="1"/>
  <c r="F71" i="3"/>
  <c r="H22" i="1"/>
  <c r="F21" i="3" s="1"/>
  <c r="H34" i="1"/>
  <c r="F33" i="3" s="1"/>
  <c r="H74" i="1"/>
  <c r="F73" i="3" s="1"/>
  <c r="H62" i="1"/>
  <c r="F61" i="3" s="1"/>
  <c r="H7" i="1"/>
  <c r="H13" i="1"/>
  <c r="F12" i="3" s="1"/>
  <c r="H46" i="1"/>
  <c r="F45" i="3" s="1"/>
  <c r="H47" i="1"/>
  <c r="F46" i="3" s="1"/>
  <c r="H69" i="1"/>
  <c r="F68" i="3" s="1"/>
  <c r="H14" i="1"/>
  <c r="F13" i="3" s="1"/>
  <c r="H24" i="1"/>
  <c r="F23" i="3" s="1"/>
  <c r="H38" i="1"/>
  <c r="F37" i="3" s="1"/>
  <c r="H36" i="1"/>
  <c r="F35" i="3" s="1"/>
  <c r="D121" i="1" l="1"/>
  <c r="F121" i="1" s="1"/>
  <c r="G121" i="1" s="1"/>
  <c r="E120" i="3" s="1"/>
  <c r="C121" i="3"/>
  <c r="AN155" i="3" s="1"/>
  <c r="M155" i="3" s="1"/>
  <c r="C123" i="1"/>
  <c r="E123" i="1" s="1"/>
  <c r="D121" i="3"/>
  <c r="G120" i="1"/>
  <c r="E119" i="3" s="1"/>
  <c r="B32" i="3"/>
  <c r="H31" i="1"/>
  <c r="F30" i="3" s="1"/>
  <c r="H80" i="1"/>
  <c r="F79" i="3" s="1"/>
  <c r="H82" i="1"/>
  <c r="F81" i="3" s="1"/>
  <c r="H84" i="1"/>
  <c r="F83" i="3" s="1"/>
  <c r="H83" i="1"/>
  <c r="F82" i="3" s="1"/>
  <c r="H81" i="1"/>
  <c r="F80" i="3" s="1"/>
  <c r="H20" i="1"/>
  <c r="F19" i="3" s="1"/>
  <c r="H11" i="1"/>
  <c r="F10" i="3" s="1"/>
  <c r="H5" i="1"/>
  <c r="F4" i="3" s="1"/>
  <c r="D4" i="3"/>
  <c r="Q155" i="3" l="1"/>
  <c r="S155" i="3"/>
  <c r="F122" i="1"/>
  <c r="G122" i="1" s="1"/>
  <c r="E121" i="3" s="1"/>
  <c r="H121" i="1"/>
  <c r="F120" i="3" s="1"/>
  <c r="C124" i="1"/>
  <c r="E124" i="1" s="1"/>
  <c r="C122" i="3"/>
  <c r="D122" i="3"/>
  <c r="H120" i="1"/>
  <c r="F119" i="3" s="1"/>
  <c r="B33" i="3"/>
  <c r="I155" i="3" l="1"/>
  <c r="AR159" i="3"/>
  <c r="M159" i="3" s="1"/>
  <c r="Q156" i="3"/>
  <c r="D123" i="1"/>
  <c r="F123" i="1" s="1"/>
  <c r="G123" i="1" s="1"/>
  <c r="E122" i="3" s="1"/>
  <c r="C125" i="1"/>
  <c r="E125" i="1" s="1"/>
  <c r="R156" i="3"/>
  <c r="D123" i="3"/>
  <c r="H122" i="1"/>
  <c r="F121" i="3" s="1"/>
  <c r="B34" i="3"/>
  <c r="D106" i="3"/>
  <c r="D87" i="3"/>
  <c r="D99" i="3"/>
  <c r="D104" i="3"/>
  <c r="D102" i="3"/>
  <c r="D88" i="1"/>
  <c r="F88" i="1" s="1"/>
  <c r="D98" i="3"/>
  <c r="D107" i="1"/>
  <c r="F107" i="1" s="1"/>
  <c r="D103" i="1"/>
  <c r="F103" i="1" s="1"/>
  <c r="D88" i="3"/>
  <c r="D100" i="3"/>
  <c r="D105" i="3"/>
  <c r="D106" i="1"/>
  <c r="F106" i="1" s="1"/>
  <c r="H106" i="1" s="1"/>
  <c r="F105" i="3" s="1"/>
  <c r="D109" i="3"/>
  <c r="D101" i="1"/>
  <c r="F101" i="1" s="1"/>
  <c r="D99" i="1"/>
  <c r="F99" i="1" s="1"/>
  <c r="G99" i="1" s="1"/>
  <c r="D100" i="1"/>
  <c r="F100" i="1" s="1"/>
  <c r="D96" i="3"/>
  <c r="G110" i="1"/>
  <c r="H110" i="1" s="1"/>
  <c r="D84" i="3"/>
  <c r="D110" i="3"/>
  <c r="D97" i="1"/>
  <c r="F97" i="1" s="1"/>
  <c r="D85" i="1"/>
  <c r="F85" i="1" s="1"/>
  <c r="D105" i="1"/>
  <c r="F105" i="1" s="1"/>
  <c r="D111" i="1"/>
  <c r="F111" i="1" s="1"/>
  <c r="D89" i="1"/>
  <c r="F89" i="1" s="1"/>
  <c r="C126" i="1" l="1"/>
  <c r="E126" i="1" s="1"/>
  <c r="C124" i="3"/>
  <c r="AU162" i="3" s="1"/>
  <c r="M162" i="3" s="1"/>
  <c r="D124" i="3"/>
  <c r="D124" i="1"/>
  <c r="F124" i="1" s="1"/>
  <c r="H123" i="1"/>
  <c r="F122" i="3" s="1"/>
  <c r="B37" i="1"/>
  <c r="B35" i="3"/>
  <c r="G111" i="1"/>
  <c r="E110" i="3" s="1"/>
  <c r="G88" i="1"/>
  <c r="H88" i="1" s="1"/>
  <c r="F87" i="3" s="1"/>
  <c r="G85" i="1"/>
  <c r="H85" i="1" s="1"/>
  <c r="F84" i="3" s="1"/>
  <c r="G97" i="1"/>
  <c r="F109" i="3"/>
  <c r="E109" i="3"/>
  <c r="H99" i="1"/>
  <c r="F98" i="3" s="1"/>
  <c r="G89" i="1"/>
  <c r="H89" i="1" s="1"/>
  <c r="F88" i="3" s="1"/>
  <c r="G100" i="1"/>
  <c r="E99" i="3" s="1"/>
  <c r="G103" i="1"/>
  <c r="E102" i="3" s="1"/>
  <c r="G107" i="1"/>
  <c r="E106" i="3" s="1"/>
  <c r="G105" i="1"/>
  <c r="E104" i="3" s="1"/>
  <c r="G101" i="1"/>
  <c r="E100" i="3" s="1"/>
  <c r="D125" i="1" l="1"/>
  <c r="F125" i="1" s="1"/>
  <c r="G125" i="1" s="1"/>
  <c r="E124" i="3" s="1"/>
  <c r="G124" i="1"/>
  <c r="E123" i="3" s="1"/>
  <c r="C127" i="1"/>
  <c r="E127" i="1" s="1"/>
  <c r="C125" i="3"/>
  <c r="S156" i="3" s="1"/>
  <c r="I156" i="3" s="1"/>
  <c r="D125" i="3"/>
  <c r="B36" i="3"/>
  <c r="H101" i="1"/>
  <c r="F100" i="3" s="1"/>
  <c r="H100" i="1"/>
  <c r="F99" i="3" s="1"/>
  <c r="H97" i="1"/>
  <c r="H105" i="1"/>
  <c r="F104" i="3" s="1"/>
  <c r="E88" i="3"/>
  <c r="H107" i="1"/>
  <c r="F106" i="3" s="1"/>
  <c r="E87" i="3"/>
  <c r="H103" i="1"/>
  <c r="F102" i="3" s="1"/>
  <c r="H111" i="1"/>
  <c r="F110" i="3" s="1"/>
  <c r="AR161" i="3" l="1"/>
  <c r="M161" i="3" s="1"/>
  <c r="P159" i="3"/>
  <c r="I159" i="3" s="1"/>
  <c r="D126" i="1"/>
  <c r="F126" i="1" s="1"/>
  <c r="G126" i="1" s="1"/>
  <c r="E125" i="3" s="1"/>
  <c r="C128" i="1"/>
  <c r="C126" i="3"/>
  <c r="D126" i="3"/>
  <c r="H125" i="1"/>
  <c r="F124" i="3" s="1"/>
  <c r="H124" i="1"/>
  <c r="F123" i="3" s="1"/>
  <c r="B37" i="3"/>
  <c r="Q166" i="3" l="1"/>
  <c r="I166" i="3" s="1"/>
  <c r="AL166" i="3"/>
  <c r="M166" i="3" s="1"/>
  <c r="E128" i="1"/>
  <c r="D127" i="3" s="1"/>
  <c r="C129" i="1"/>
  <c r="D127" i="1"/>
  <c r="F127" i="1" s="1"/>
  <c r="G127" i="1" s="1"/>
  <c r="E126" i="3" s="1"/>
  <c r="C127" i="3"/>
  <c r="H126" i="1"/>
  <c r="F125" i="3" s="1"/>
  <c r="B38" i="3"/>
  <c r="C130" i="1" l="1"/>
  <c r="E129" i="1"/>
  <c r="D128" i="3" s="1"/>
  <c r="D128" i="1"/>
  <c r="F128" i="1" s="1"/>
  <c r="G128" i="1" s="1"/>
  <c r="E127" i="3" s="1"/>
  <c r="H127" i="1"/>
  <c r="F126" i="3" s="1"/>
  <c r="C128" i="3"/>
  <c r="B39" i="3"/>
  <c r="E130" i="1" l="1"/>
  <c r="D129" i="3" s="1"/>
  <c r="C129" i="3"/>
  <c r="C131" i="1"/>
  <c r="E131" i="1" s="1"/>
  <c r="D129" i="1"/>
  <c r="F129" i="1" s="1"/>
  <c r="G129" i="1" s="1"/>
  <c r="E128" i="3" s="1"/>
  <c r="H128" i="1"/>
  <c r="F127" i="3" s="1"/>
  <c r="B40" i="3"/>
  <c r="D130" i="1" l="1"/>
  <c r="F130" i="1" s="1"/>
  <c r="G130" i="1" s="1"/>
  <c r="E129" i="3" s="1"/>
  <c r="C130" i="3"/>
  <c r="D130" i="3"/>
  <c r="H129" i="1"/>
  <c r="F128" i="3" s="1"/>
  <c r="B42" i="3"/>
  <c r="E132" i="1" l="1"/>
  <c r="D131" i="3" s="1"/>
  <c r="D131" i="1"/>
  <c r="F131" i="1" s="1"/>
  <c r="G131" i="1" s="1"/>
  <c r="E130" i="3" s="1"/>
  <c r="E133" i="1"/>
  <c r="C131" i="3"/>
  <c r="H130" i="1"/>
  <c r="F129" i="3" s="1"/>
  <c r="B44" i="3"/>
  <c r="D132" i="1" l="1"/>
  <c r="F132" i="1" s="1"/>
  <c r="G132" i="1" s="1"/>
  <c r="E131" i="3" s="1"/>
  <c r="C132" i="3"/>
  <c r="D132" i="3"/>
  <c r="H131" i="1"/>
  <c r="F130" i="3" s="1"/>
  <c r="B45" i="3"/>
  <c r="E134" i="1" l="1"/>
  <c r="D133" i="3" s="1"/>
  <c r="C133" i="3"/>
  <c r="D133" i="1"/>
  <c r="F133" i="1" s="1"/>
  <c r="G133" i="1" s="1"/>
  <c r="E132" i="3" s="1"/>
  <c r="H132" i="1"/>
  <c r="F131" i="3" s="1"/>
  <c r="B46" i="3"/>
  <c r="E135" i="1" l="1"/>
  <c r="D134" i="3" s="1"/>
  <c r="C134" i="3"/>
  <c r="D134" i="1"/>
  <c r="F134" i="1" s="1"/>
  <c r="G134" i="1" s="1"/>
  <c r="E133" i="3" s="1"/>
  <c r="H133" i="1"/>
  <c r="F132" i="3" s="1"/>
  <c r="B52" i="1"/>
  <c r="B50" i="3"/>
  <c r="C135" i="3" l="1"/>
  <c r="E136" i="1"/>
  <c r="D135" i="3" s="1"/>
  <c r="D135" i="1"/>
  <c r="F135" i="1" s="1"/>
  <c r="G135" i="1" s="1"/>
  <c r="E134" i="3" s="1"/>
  <c r="H134" i="1"/>
  <c r="F133" i="3" s="1"/>
  <c r="B53" i="1"/>
  <c r="B51" i="3"/>
  <c r="C136" i="3" l="1"/>
  <c r="E137" i="1"/>
  <c r="D136" i="3" s="1"/>
  <c r="D136" i="1"/>
  <c r="F136" i="1" s="1"/>
  <c r="G136" i="1" s="1"/>
  <c r="E135" i="3" s="1"/>
  <c r="H135" i="1"/>
  <c r="F134" i="3" s="1"/>
  <c r="B54" i="1"/>
  <c r="B52" i="3"/>
  <c r="D137" i="1" l="1"/>
  <c r="F137" i="1" s="1"/>
  <c r="G137" i="1" s="1"/>
  <c r="H137" i="1" s="1"/>
  <c r="C137" i="3"/>
  <c r="E138" i="1"/>
  <c r="D137" i="3" s="1"/>
  <c r="H136" i="1"/>
  <c r="F135" i="3" s="1"/>
  <c r="B55" i="1"/>
  <c r="B53" i="3"/>
  <c r="D138" i="1" l="1"/>
  <c r="F138" i="1" s="1"/>
  <c r="G138" i="1" s="1"/>
  <c r="H138" i="1" s="1"/>
  <c r="C138" i="3"/>
  <c r="E139" i="1"/>
  <c r="D138" i="3" s="1"/>
  <c r="B56" i="1"/>
  <c r="B54" i="3"/>
  <c r="D139" i="1" l="1"/>
  <c r="F139" i="1" s="1"/>
  <c r="G139" i="1" s="1"/>
  <c r="H139" i="1" s="1"/>
  <c r="C139" i="3"/>
  <c r="E140" i="1"/>
  <c r="D139" i="3" s="1"/>
  <c r="B57" i="1"/>
  <c r="B55" i="3"/>
  <c r="D140" i="1" l="1"/>
  <c r="F140" i="1" s="1"/>
  <c r="G140" i="1" s="1"/>
  <c r="H140" i="1" s="1"/>
  <c r="C140" i="3"/>
  <c r="E141" i="1"/>
  <c r="D140" i="3" s="1"/>
  <c r="B56" i="3"/>
  <c r="C141" i="3" l="1"/>
  <c r="E142" i="1"/>
  <c r="D141" i="3" s="1"/>
  <c r="D141" i="1"/>
  <c r="F141" i="1" s="1"/>
  <c r="G141" i="1" s="1"/>
  <c r="H141" i="1" s="1"/>
  <c r="B60" i="1"/>
  <c r="B58" i="3"/>
  <c r="D142" i="1" l="1"/>
  <c r="F142" i="1" s="1"/>
  <c r="G142" i="1" s="1"/>
  <c r="H142" i="1" s="1"/>
  <c r="C142" i="3"/>
  <c r="E143" i="1"/>
  <c r="D142" i="3" s="1"/>
  <c r="B59" i="3"/>
  <c r="D143" i="1" l="1"/>
  <c r="F143" i="1" s="1"/>
  <c r="G143" i="1" s="1"/>
  <c r="H143" i="1" s="1"/>
  <c r="C143" i="3"/>
  <c r="E144" i="1"/>
  <c r="D143" i="3" s="1"/>
  <c r="B63" i="1"/>
  <c r="B60" i="3"/>
  <c r="D144" i="1" l="1"/>
  <c r="F144" i="1" s="1"/>
  <c r="G144" i="1" s="1"/>
  <c r="H144" i="1" s="1"/>
  <c r="C144" i="3"/>
  <c r="E145" i="1"/>
  <c r="D144" i="3" s="1"/>
  <c r="B62" i="3"/>
  <c r="D145" i="1" l="1"/>
  <c r="F145" i="1" s="1"/>
  <c r="G145" i="1" s="1"/>
  <c r="H145" i="1" s="1"/>
  <c r="C145" i="3"/>
  <c r="E146" i="1"/>
  <c r="D145" i="3" s="1"/>
  <c r="B65" i="1"/>
  <c r="B67" i="1" s="1"/>
  <c r="B63" i="3"/>
  <c r="D146" i="1" l="1"/>
  <c r="F146" i="1" s="1"/>
  <c r="G146" i="1" s="1"/>
  <c r="H146" i="1" s="1"/>
  <c r="C146" i="3"/>
  <c r="E147" i="1"/>
  <c r="D146" i="3" s="1"/>
  <c r="B64" i="3"/>
  <c r="D147" i="1" l="1"/>
  <c r="F147" i="1" s="1"/>
  <c r="G147" i="1" s="1"/>
  <c r="H147" i="1" s="1"/>
  <c r="C147" i="3"/>
  <c r="E148" i="1"/>
  <c r="D147" i="3" s="1"/>
  <c r="B65" i="3"/>
  <c r="D148" i="1" l="1"/>
  <c r="F148" i="1" s="1"/>
  <c r="G148" i="1" s="1"/>
  <c r="H148" i="1" s="1"/>
  <c r="C148" i="3"/>
  <c r="E149" i="1"/>
  <c r="D148" i="3" s="1"/>
  <c r="B69" i="1"/>
  <c r="B66" i="3"/>
  <c r="D149" i="1" l="1"/>
  <c r="F149" i="1" s="1"/>
  <c r="G149" i="1" s="1"/>
  <c r="H149" i="1" s="1"/>
  <c r="B70" i="1"/>
  <c r="B69" i="3" l="1"/>
  <c r="B72" i="1" l="1"/>
  <c r="B70" i="3"/>
  <c r="B71" i="3" l="1"/>
  <c r="B72" i="3" l="1"/>
  <c r="B75" i="1" l="1"/>
  <c r="B73" i="3"/>
  <c r="B77" i="1" l="1"/>
  <c r="B74" i="3"/>
  <c r="B78" i="1" l="1"/>
  <c r="B79" i="1" s="1"/>
  <c r="B76" i="3"/>
  <c r="B77" i="3" l="1"/>
  <c r="B81" i="1" l="1"/>
  <c r="B78" i="3"/>
  <c r="B82" i="1" l="1"/>
  <c r="B80" i="3"/>
  <c r="B83" i="1" l="1"/>
  <c r="B81" i="3"/>
  <c r="B84" i="1" l="1"/>
  <c r="B82" i="3"/>
  <c r="B85" i="1" l="1"/>
  <c r="B83" i="3"/>
  <c r="B84" i="3" l="1"/>
  <c r="B87" i="1" l="1"/>
  <c r="B85" i="3"/>
  <c r="B88" i="1" l="1"/>
  <c r="B86" i="3"/>
  <c r="B89" i="1" l="1"/>
  <c r="B87" i="3"/>
  <c r="B90" i="1" l="1"/>
  <c r="B88" i="3"/>
  <c r="B91" i="1" l="1"/>
  <c r="B89" i="3"/>
  <c r="B92" i="1" l="1"/>
  <c r="B90" i="3"/>
  <c r="B93" i="1" l="1"/>
  <c r="B91" i="3"/>
  <c r="B94" i="1" l="1"/>
  <c r="B92" i="3"/>
  <c r="B95" i="1" l="1"/>
  <c r="B93" i="3"/>
  <c r="B96" i="1" l="1"/>
  <c r="B94" i="3"/>
  <c r="B97" i="1" l="1"/>
  <c r="B95" i="3"/>
  <c r="B98" i="1" l="1"/>
  <c r="B96" i="3"/>
  <c r="B97" i="3" l="1"/>
  <c r="B100" i="1" l="1"/>
  <c r="B98" i="3"/>
  <c r="B101" i="1" l="1"/>
  <c r="B99" i="3"/>
  <c r="B102" i="1" l="1"/>
  <c r="B100" i="3"/>
  <c r="B103" i="1" l="1"/>
  <c r="B101" i="3"/>
  <c r="B104" i="1" l="1"/>
  <c r="B102" i="3"/>
  <c r="B105" i="1" l="1"/>
  <c r="B103" i="3"/>
  <c r="B104" i="3" l="1"/>
  <c r="B105" i="3" l="1"/>
  <c r="B108" i="1" l="1"/>
  <c r="B106" i="3"/>
  <c r="B109" i="1" l="1"/>
  <c r="B107" i="3"/>
  <c r="B110" i="1" l="1"/>
  <c r="B108" i="3"/>
  <c r="B109" i="3" l="1"/>
  <c r="B111" i="1"/>
  <c r="B110" i="3" l="1"/>
  <c r="B112" i="1"/>
  <c r="B113" i="1" l="1"/>
  <c r="B111" i="3"/>
  <c r="B112" i="3" l="1"/>
  <c r="B114" i="1"/>
  <c r="B115" i="1" l="1"/>
  <c r="B113" i="3"/>
  <c r="B114" i="3" l="1"/>
  <c r="B116" i="1"/>
  <c r="B117" i="1" l="1"/>
  <c r="B115" i="3"/>
  <c r="B116" i="3" l="1"/>
  <c r="B118" i="1"/>
  <c r="B117" i="3" l="1"/>
  <c r="B119" i="1"/>
  <c r="B118" i="3" l="1"/>
  <c r="B120" i="1"/>
  <c r="B119" i="3" l="1"/>
  <c r="B121" i="1"/>
  <c r="B122" i="1" l="1"/>
  <c r="B120" i="3"/>
  <c r="B121" i="3" l="1"/>
  <c r="B123" i="1"/>
  <c r="B122" i="3" l="1"/>
  <c r="B124" i="1"/>
  <c r="B123" i="3" l="1"/>
  <c r="B125" i="1"/>
  <c r="B124" i="3" l="1"/>
  <c r="B126" i="1"/>
  <c r="B125" i="3" l="1"/>
  <c r="B127" i="1"/>
  <c r="B128" i="1" l="1"/>
  <c r="B129" i="1" s="1"/>
  <c r="B130" i="1" s="1"/>
  <c r="B131" i="1" s="1"/>
  <c r="B132" i="1" s="1"/>
  <c r="B133" i="1" s="1"/>
  <c r="B134" i="1" s="1"/>
  <c r="B126" i="3"/>
  <c r="B135" i="1" l="1"/>
  <c r="B133" i="3"/>
  <c r="B127" i="3"/>
  <c r="B136" i="1" l="1"/>
  <c r="B134" i="3"/>
  <c r="B128" i="3"/>
  <c r="B135" i="3" l="1"/>
  <c r="B137" i="1"/>
  <c r="B136" i="3" s="1"/>
  <c r="B129" i="3"/>
  <c r="B138" i="1" l="1"/>
  <c r="B137" i="3" s="1"/>
  <c r="B130" i="3"/>
  <c r="B139" i="1" l="1"/>
  <c r="B138" i="3" s="1"/>
  <c r="B131" i="3"/>
  <c r="B140" i="1" l="1"/>
  <c r="B139" i="3" s="1"/>
  <c r="B132" i="3"/>
  <c r="B141" i="1" l="1"/>
  <c r="B140" i="3" s="1"/>
  <c r="B142" i="1" l="1"/>
  <c r="B141" i="3" s="1"/>
  <c r="B143" i="1" l="1"/>
  <c r="B142" i="3" s="1"/>
  <c r="B144" i="1" l="1"/>
  <c r="B143" i="3" s="1"/>
  <c r="B145" i="1" l="1"/>
  <c r="B144" i="3" s="1"/>
  <c r="B146" i="1" l="1"/>
  <c r="B145" i="3" l="1"/>
  <c r="B147" i="1"/>
  <c r="B146" i="3" s="1"/>
  <c r="B148" i="1" l="1"/>
  <c r="B149" i="1" l="1"/>
  <c r="B148" i="3" s="1"/>
  <c r="D157" i="3" s="1"/>
  <c r="D156" i="3" s="1"/>
  <c r="B147" i="3"/>
</calcChain>
</file>

<file path=xl/sharedStrings.xml><?xml version="1.0" encoding="utf-8"?>
<sst xmlns="http://schemas.openxmlformats.org/spreadsheetml/2006/main" count="5325" uniqueCount="1212">
  <si>
    <t>Nº Reg.</t>
  </si>
  <si>
    <t>1ª Cria</t>
  </si>
  <si>
    <t>ULT. Cria</t>
  </si>
  <si>
    <t>Nº Crias</t>
  </si>
  <si>
    <t>Meses/Cria</t>
  </si>
  <si>
    <t>Nº Ord.</t>
  </si>
  <si>
    <t>FAZENDAS TANGARÁ / ALMAS - MUNICIPIO SÃO FRANCISCO DO CONDE - BA</t>
  </si>
  <si>
    <t>POSIÇÃO EM:</t>
  </si>
  <si>
    <t>INICIO:</t>
  </si>
  <si>
    <t>Matriz</t>
  </si>
  <si>
    <t>Data Parto</t>
  </si>
  <si>
    <t>M</t>
  </si>
  <si>
    <t>F</t>
  </si>
  <si>
    <t>S/R</t>
  </si>
  <si>
    <t>Ant</t>
  </si>
  <si>
    <t>Pai</t>
  </si>
  <si>
    <t>Meses + 9,5 Meses</t>
  </si>
  <si>
    <t>Nº ORD</t>
  </si>
  <si>
    <t>Nº DE REG.</t>
  </si>
  <si>
    <t>Nº DE CRIAS</t>
  </si>
  <si>
    <t>INT/CRIA MESES</t>
  </si>
  <si>
    <t>OBSESRVAÇÕES</t>
  </si>
  <si>
    <t>PREV. PARTO</t>
  </si>
  <si>
    <t>CRUZ.</t>
  </si>
  <si>
    <t>REG</t>
  </si>
  <si>
    <t xml:space="preserve">DATA DO TOQUE: </t>
  </si>
  <si>
    <t>Nelore 2</t>
  </si>
  <si>
    <t>N. de Ordem</t>
  </si>
  <si>
    <t>Raça Pelagem</t>
  </si>
  <si>
    <t>Sexo</t>
  </si>
  <si>
    <t>Peso (@)</t>
  </si>
  <si>
    <t>Preço Real</t>
  </si>
  <si>
    <t>FAZENDAS TANGARÁ / ALMAS -SÃO FCO. DO CONDE -BA</t>
  </si>
  <si>
    <t>Cria da Fazenda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</si>
  <si>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</si>
  <si>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</si>
  <si>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</si>
  <si>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</si>
  <si>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</si>
  <si>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</si>
  <si>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</si>
  <si>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</si>
  <si>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</si>
  <si>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</si>
  <si>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</si>
  <si>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</si>
  <si>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</si>
  <si>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</si>
  <si>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</si>
  <si>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</si>
  <si>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</si>
  <si>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</si>
  <si>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</si>
  <si>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</si>
  <si>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</si>
  <si>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</si>
  <si>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</si>
  <si>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</si>
  <si>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</si>
  <si>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</si>
  <si>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</si>
  <si>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</si>
  <si>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</si>
  <si>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</si>
  <si>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</si>
  <si>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</si>
  <si>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</si>
  <si>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</si>
  <si>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</si>
  <si>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</si>
  <si>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</si>
  <si>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</si>
  <si>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</si>
  <si>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</si>
  <si>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</si>
  <si>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</si>
  <si>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</si>
  <si>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</si>
  <si>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</si>
  <si>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</si>
  <si>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</si>
  <si>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</si>
  <si>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</si>
  <si>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</si>
  <si>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</si>
  <si>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</si>
  <si>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</si>
  <si>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</si>
  <si>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</si>
  <si>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</si>
  <si>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</si>
  <si>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</si>
  <si>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</si>
  <si>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</si>
  <si>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</si>
  <si>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</si>
  <si>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</si>
  <si>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</si>
  <si>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</si>
  <si>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</si>
  <si>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</si>
  <si>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</si>
  <si>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</si>
  <si>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</si>
  <si>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</si>
  <si>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</si>
  <si>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</si>
  <si>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</si>
  <si>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</si>
  <si>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</si>
  <si>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</si>
  <si>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</si>
  <si>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</si>
  <si>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</si>
  <si>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</si>
  <si>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</si>
  <si>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</si>
  <si>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</si>
  <si>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</si>
  <si>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</si>
  <si>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</si>
  <si>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</si>
  <si>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</si>
  <si>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</si>
  <si>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</si>
  <si>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</si>
  <si>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</si>
  <si>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</si>
  <si>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</si>
  <si>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</si>
  <si>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</si>
  <si>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</si>
  <si>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</si>
  <si>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</si>
  <si>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</si>
  <si>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</si>
  <si>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</si>
  <si>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</si>
  <si>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</si>
  <si>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</si>
  <si>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</si>
  <si>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</si>
  <si>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</si>
  <si>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</si>
  <si>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</si>
  <si>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</si>
  <si>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</si>
  <si>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</si>
  <si>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</si>
  <si>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</si>
  <si>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</si>
  <si>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</si>
  <si>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</si>
  <si>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</si>
  <si>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</si>
  <si>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</si>
  <si>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</si>
  <si>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</si>
  <si>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</si>
  <si>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</si>
  <si>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</si>
  <si>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</si>
  <si>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</si>
  <si>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</si>
  <si>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</si>
  <si>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</si>
  <si>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</si>
  <si>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</si>
  <si>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</si>
  <si>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</si>
  <si>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</si>
  <si>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</si>
  <si>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</si>
  <si>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</si>
  <si>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</si>
  <si>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</si>
  <si>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</si>
  <si>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</si>
  <si>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</si>
  <si>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</si>
  <si>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</si>
  <si>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</si>
  <si>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</si>
  <si>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</si>
  <si>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</si>
  <si>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</si>
  <si>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</si>
  <si>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</si>
  <si>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</si>
  <si>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</si>
  <si>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</si>
  <si>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</si>
  <si>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</si>
  <si>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</si>
  <si>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</si>
  <si>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</si>
  <si>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</si>
  <si>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</si>
  <si>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</si>
  <si>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</si>
  <si>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</si>
  <si>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</si>
  <si>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</si>
  <si>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</si>
  <si>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</si>
  <si>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</si>
  <si>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</si>
  <si>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</si>
  <si>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</si>
  <si>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</si>
  <si>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</si>
  <si>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</si>
  <si>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</si>
  <si>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</si>
  <si>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</si>
  <si>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</si>
  <si>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</si>
  <si>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</si>
  <si>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</si>
  <si>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</si>
  <si>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</si>
  <si>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</si>
  <si>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</si>
  <si>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</si>
  <si>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</si>
  <si>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</si>
  <si>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</si>
  <si>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</si>
  <si>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</si>
  <si>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</si>
  <si>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</si>
  <si>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</si>
  <si>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</si>
  <si>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</si>
  <si>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</si>
  <si>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</si>
  <si>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</si>
  <si>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</si>
  <si>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</si>
  <si>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</si>
  <si>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</si>
  <si>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</si>
  <si>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222</t>
  </si>
  <si>
    <t>223</t>
  </si>
  <si>
    <t>224</t>
  </si>
  <si>
    <t>225</t>
  </si>
  <si>
    <t>228</t>
  </si>
  <si>
    <t>229</t>
  </si>
  <si>
    <t>230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</si>
  <si>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</si>
  <si>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</si>
  <si>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</si>
  <si>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</si>
  <si>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</si>
  <si>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</si>
  <si>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</si>
  <si>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</si>
  <si>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</si>
  <si>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</si>
  <si>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</si>
  <si>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</si>
  <si>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</si>
  <si>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</si>
  <si>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</si>
  <si>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</si>
  <si>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</si>
  <si>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</si>
  <si>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</si>
  <si>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</si>
  <si>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</si>
  <si>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</si>
  <si>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</si>
  <si>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</si>
  <si>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</si>
  <si>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</si>
  <si>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</si>
  <si>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</si>
  <si>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</si>
  <si>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</si>
  <si>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</si>
  <si>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</si>
  <si>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</si>
  <si>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</si>
  <si>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</si>
  <si>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</si>
  <si>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</si>
  <si>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</si>
  <si>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</si>
  <si>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</si>
  <si>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</si>
  <si>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</si>
  <si>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</si>
  <si>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</si>
  <si>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</si>
  <si>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</si>
  <si>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</si>
  <si>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</si>
  <si>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</si>
  <si>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</si>
  <si>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</si>
  <si>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</si>
  <si>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</si>
  <si>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</si>
  <si>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</si>
  <si>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</si>
  <si>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</si>
  <si>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</si>
  <si>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</si>
  <si>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</si>
  <si>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</si>
  <si>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</si>
  <si>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</si>
  <si>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</si>
  <si>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</si>
  <si>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</si>
  <si>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</si>
  <si>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</si>
  <si>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</si>
  <si>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</si>
  <si>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</si>
  <si>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</si>
  <si>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</si>
  <si>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</si>
  <si>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</si>
  <si>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</si>
  <si>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</si>
  <si>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</si>
  <si>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</si>
  <si>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</si>
  <si>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</si>
  <si>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</si>
  <si>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</si>
  <si>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</si>
  <si>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</si>
  <si>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</si>
  <si>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</si>
  <si>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</si>
  <si>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</si>
  <si>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</si>
  <si>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</si>
  <si>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</si>
  <si>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</si>
  <si>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</si>
  <si>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</si>
  <si>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</si>
  <si>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</si>
  <si>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</si>
  <si>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</si>
  <si>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</si>
  <si>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</si>
  <si>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</si>
  <si>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</si>
  <si>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</si>
  <si>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</si>
  <si>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</si>
  <si>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</si>
  <si>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</si>
  <si>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</si>
  <si>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</si>
  <si>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</si>
  <si>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</si>
  <si>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</si>
  <si>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</si>
  <si>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</si>
  <si>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</si>
  <si>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</si>
  <si>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</si>
  <si>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</si>
  <si>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</si>
  <si>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</si>
  <si>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</si>
  <si>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</si>
  <si>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</si>
  <si>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</si>
  <si>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</si>
  <si>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</si>
  <si>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</si>
  <si>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</si>
  <si>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</si>
  <si>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</si>
  <si>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</si>
  <si>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</si>
  <si>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</si>
  <si>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</si>
  <si>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</si>
  <si>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</si>
  <si>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</si>
  <si>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</si>
  <si>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</si>
  <si>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</si>
  <si>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</si>
  <si>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</si>
  <si>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</si>
  <si>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</si>
  <si>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</si>
  <si>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</si>
  <si>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</si>
  <si>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</si>
  <si>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</si>
  <si>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</si>
  <si>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</si>
  <si>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</si>
  <si>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</si>
  <si>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</si>
  <si>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</si>
  <si>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</si>
  <si>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</si>
  <si>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</si>
  <si>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</si>
  <si>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</si>
  <si>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</si>
  <si>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</si>
  <si>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</si>
  <si>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</si>
  <si>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</si>
  <si>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</si>
  <si>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</si>
  <si>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</si>
  <si>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</si>
  <si>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</si>
  <si>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</si>
  <si>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</si>
  <si>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</si>
  <si>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</si>
  <si>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</si>
  <si>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</si>
  <si>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</si>
  <si>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</si>
  <si>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</si>
  <si>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</si>
  <si>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</si>
  <si>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</si>
  <si>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</si>
  <si>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</si>
  <si>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</si>
  <si>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</si>
  <si>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</si>
  <si>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</si>
  <si>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</si>
  <si>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</si>
  <si>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</si>
  <si>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</si>
  <si>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</si>
  <si>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</si>
  <si>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</si>
  <si>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</si>
  <si>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</si>
  <si>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</si>
  <si>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</si>
  <si>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</si>
  <si>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</si>
  <si>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</si>
  <si>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</si>
  <si>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</si>
  <si>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</si>
  <si>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</si>
  <si>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</si>
  <si>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</si>
  <si>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</si>
  <si>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</si>
  <si>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</si>
  <si>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</si>
  <si>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</si>
  <si>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</si>
  <si>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</si>
  <si>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</si>
  <si>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</si>
  <si>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</si>
  <si>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</si>
  <si>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</si>
  <si>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</si>
  <si>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</si>
  <si>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</si>
  <si>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</si>
  <si>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</si>
  <si>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</si>
  <si>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</si>
  <si>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</si>
  <si>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</si>
  <si>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</si>
  <si>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</si>
  <si>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</si>
  <si>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</si>
  <si>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</si>
  <si>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</si>
  <si>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</si>
  <si>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</si>
  <si>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</si>
  <si>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</si>
  <si>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</si>
  <si>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</si>
  <si>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</si>
  <si>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</si>
  <si>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</si>
  <si>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</si>
  <si>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</si>
  <si>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</si>
  <si>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</si>
  <si>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</si>
  <si>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</si>
  <si>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</si>
  <si>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</si>
  <si>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</si>
  <si>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</si>
  <si>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</si>
  <si>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</si>
  <si>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</si>
  <si>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</si>
  <si>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</si>
  <si>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</si>
  <si>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</si>
  <si>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</si>
  <si>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</si>
  <si>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</si>
  <si>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</si>
  <si>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</si>
  <si>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</si>
  <si>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</si>
  <si>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</si>
  <si>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</si>
  <si>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</si>
  <si>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</si>
  <si>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509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</si>
  <si>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</si>
  <si>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</si>
  <si>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</si>
  <si>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</si>
  <si>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</si>
  <si>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</si>
  <si>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</si>
  <si>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</si>
  <si>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</si>
  <si>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</si>
  <si>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</si>
  <si>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</si>
  <si>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</si>
  <si>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</si>
  <si>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</si>
  <si>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</si>
  <si>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</si>
  <si>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</si>
  <si>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</si>
  <si>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</si>
  <si>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</si>
  <si>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</si>
  <si>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</si>
  <si>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</si>
  <si>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</si>
  <si>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</si>
  <si>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</si>
  <si>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</si>
  <si>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</si>
  <si>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</si>
  <si>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</si>
  <si>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</si>
  <si>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</si>
  <si>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</si>
  <si>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</si>
  <si>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</si>
  <si>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</si>
  <si>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</si>
  <si>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</si>
  <si>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</si>
  <si>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</si>
  <si>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</si>
  <si>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</si>
  <si>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</si>
  <si>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</si>
  <si>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</si>
  <si>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</si>
  <si>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</si>
  <si>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</si>
  <si>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</si>
  <si>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</si>
  <si>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</si>
  <si>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</si>
  <si>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</si>
  <si>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</si>
  <si>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</si>
  <si>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</si>
  <si>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</si>
  <si>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</si>
  <si>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</si>
  <si>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</si>
  <si>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</si>
  <si>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</si>
  <si>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</si>
  <si>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</si>
  <si>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</si>
  <si>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</si>
  <si>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</si>
  <si>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</si>
  <si>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</si>
  <si>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</si>
  <si>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</si>
  <si>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</si>
  <si>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</si>
  <si>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</si>
  <si>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</si>
  <si>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</si>
  <si>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</si>
  <si>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</si>
  <si>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</si>
  <si>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</si>
  <si>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</si>
  <si>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</si>
  <si>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</si>
  <si>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</si>
  <si>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</si>
  <si>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</si>
  <si>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</si>
  <si>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</si>
  <si>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</si>
  <si>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</si>
  <si>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</si>
  <si>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</si>
  <si>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</si>
  <si>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</si>
  <si>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</si>
  <si>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</si>
  <si>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</si>
  <si>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</si>
  <si>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</si>
  <si>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</si>
  <si>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</si>
  <si>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</si>
  <si>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</si>
  <si>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</si>
  <si>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</si>
  <si>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</si>
  <si>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</si>
  <si>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</si>
  <si>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</si>
  <si>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</si>
  <si>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</si>
  <si>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</si>
  <si>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</si>
  <si>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</si>
  <si>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</si>
  <si>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</si>
  <si>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</si>
  <si>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</si>
  <si>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</si>
  <si>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</si>
  <si>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</si>
  <si>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</si>
  <si>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</si>
  <si>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</si>
  <si>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</si>
  <si>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</si>
  <si>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</si>
  <si>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</si>
  <si>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</si>
  <si>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</si>
  <si>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</si>
  <si>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</si>
  <si>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</si>
  <si>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</si>
  <si>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</si>
  <si>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</si>
  <si>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</si>
  <si>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</si>
  <si>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</si>
  <si>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</si>
  <si>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</si>
  <si>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</si>
  <si>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</si>
  <si>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</si>
  <si>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</si>
  <si>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</si>
  <si>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</si>
  <si>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</si>
  <si>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</si>
  <si>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</si>
  <si>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</si>
  <si>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</si>
  <si>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</si>
  <si>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</si>
  <si>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</si>
  <si>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</si>
  <si>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</si>
  <si>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</si>
  <si>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</si>
  <si>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</si>
  <si>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</si>
  <si>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</si>
  <si>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</si>
  <si>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</si>
  <si>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</si>
  <si>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</si>
  <si>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</si>
  <si>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</si>
  <si>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</si>
  <si>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</si>
  <si>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</si>
  <si>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</si>
  <si>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</si>
  <si>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</si>
  <si>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</si>
  <si>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</si>
  <si>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</si>
  <si>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</si>
  <si>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</si>
  <si>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</si>
  <si>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</si>
  <si>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</si>
  <si>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</si>
  <si>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</si>
  <si>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</si>
  <si>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</si>
  <si>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</si>
  <si>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</si>
  <si>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</si>
  <si>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</si>
  <si>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</si>
  <si>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</si>
  <si>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</si>
  <si>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</si>
  <si>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</si>
  <si>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</si>
  <si>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</si>
  <si>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</si>
  <si>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</si>
  <si>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</si>
  <si>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</si>
  <si>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</si>
  <si>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</si>
  <si>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</si>
  <si>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</si>
  <si>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</si>
  <si>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</si>
  <si>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</si>
  <si>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</si>
  <si>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</si>
  <si>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</si>
  <si>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</si>
  <si>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</si>
  <si>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</si>
  <si>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</si>
  <si>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</si>
  <si>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</si>
  <si>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</si>
  <si>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</si>
  <si>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</si>
  <si>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</si>
  <si>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</si>
  <si>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</si>
  <si>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</si>
  <si>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</si>
  <si>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</si>
  <si>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</si>
  <si>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</si>
  <si>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</si>
  <si>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</si>
  <si>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</si>
  <si>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</si>
  <si>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</si>
  <si>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</si>
  <si>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</si>
  <si>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</si>
  <si>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</si>
  <si>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</si>
  <si>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</si>
  <si>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</si>
  <si>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</si>
  <si>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</si>
  <si>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</si>
  <si>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</si>
  <si>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</si>
  <si>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</si>
  <si>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</si>
  <si>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</si>
  <si>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</si>
  <si>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</si>
  <si>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</si>
  <si>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</si>
  <si>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</si>
  <si>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</si>
  <si>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</si>
  <si>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</si>
  <si>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</si>
  <si>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</si>
  <si>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</si>
  <si>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</si>
  <si>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</si>
  <si>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</si>
  <si>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</si>
  <si>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</si>
  <si>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</si>
  <si>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</si>
  <si>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</si>
  <si>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</si>
  <si>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</si>
  <si>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</si>
  <si>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</si>
  <si>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</si>
  <si>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</si>
  <si>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</si>
  <si>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</si>
  <si>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</si>
  <si>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</si>
  <si>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</si>
  <si>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</si>
  <si>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</si>
  <si>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</si>
  <si>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</si>
  <si>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</si>
  <si>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</si>
  <si>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</si>
  <si>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</si>
  <si>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</si>
  <si>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</si>
  <si>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</si>
  <si>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</si>
  <si>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</si>
  <si>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</si>
  <si>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</si>
  <si>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</si>
  <si>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</si>
  <si>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</si>
  <si>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</si>
  <si>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</si>
  <si>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</si>
  <si>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</si>
  <si>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</si>
  <si>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</si>
  <si>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</si>
  <si>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</si>
  <si>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</si>
  <si>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</si>
  <si>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</si>
  <si>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</si>
  <si>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morreu prd/pasto</t>
  </si>
  <si>
    <t>nel.branca</t>
  </si>
  <si>
    <t>nel.castanha</t>
  </si>
  <si>
    <t>Mary</t>
  </si>
  <si>
    <t>Erico Hardt</t>
  </si>
  <si>
    <t>Divo Amoedo</t>
  </si>
  <si>
    <t>Morreu md.cobra</t>
  </si>
  <si>
    <t>Mocho</t>
  </si>
  <si>
    <t>Quebrou pata</t>
  </si>
  <si>
    <t>doada</t>
  </si>
  <si>
    <t>SR/DIMAS</t>
  </si>
  <si>
    <t>Nasceu morto</t>
  </si>
  <si>
    <t>Mor.inchaço glang.</t>
  </si>
  <si>
    <t>TUA</t>
  </si>
  <si>
    <t>doada chico bambu</t>
  </si>
  <si>
    <t>abortou</t>
  </si>
  <si>
    <t>morreu md cobra</t>
  </si>
  <si>
    <t>morreu md.cobra</t>
  </si>
  <si>
    <t>morreu mrd.cobra</t>
  </si>
  <si>
    <t>Jamilton Santos-Ca</t>
  </si>
  <si>
    <t>morreu mrd/cobra</t>
  </si>
  <si>
    <t>Morreu mrd/cobra</t>
  </si>
  <si>
    <t>Morreu mrd.cobra</t>
  </si>
  <si>
    <t>508</t>
  </si>
  <si>
    <t>510</t>
  </si>
  <si>
    <t xml:space="preserve">M </t>
  </si>
  <si>
    <t>1;012,00</t>
  </si>
  <si>
    <t>Invest/Retorno</t>
  </si>
  <si>
    <t>Data</t>
  </si>
  <si>
    <t>Períodos (Mês)</t>
  </si>
  <si>
    <t>Acum</t>
  </si>
  <si>
    <t>Rend</t>
  </si>
  <si>
    <t>xxxxx</t>
  </si>
  <si>
    <t>Morreu nasc. Prematuro</t>
  </si>
  <si>
    <t>nasceu morto</t>
  </si>
  <si>
    <t>morreu em 28/02/19 devido</t>
  </si>
  <si>
    <t>a problema</t>
  </si>
  <si>
    <t>de visao</t>
  </si>
  <si>
    <t>Período</t>
  </si>
  <si>
    <t>Quantidade</t>
  </si>
  <si>
    <t>PERIODO</t>
  </si>
  <si>
    <t>DATA DO PARTO</t>
  </si>
  <si>
    <t>T O T A L</t>
  </si>
  <si>
    <t xml:space="preserve">F </t>
  </si>
  <si>
    <t xml:space="preserve">    1,111,00</t>
  </si>
  <si>
    <t xml:space="preserve">            5.65</t>
  </si>
  <si>
    <t xml:space="preserve"> </t>
  </si>
  <si>
    <t xml:space="preserve">   </t>
  </si>
  <si>
    <t xml:space="preserve">    1.111.00</t>
  </si>
  <si>
    <t>PREVISÃO DE PARTOS</t>
  </si>
  <si>
    <t>Ateu do api</t>
  </si>
  <si>
    <t>ArmadorAP</t>
  </si>
  <si>
    <t>Apolo Api</t>
  </si>
  <si>
    <t>RESULT TOQUE</t>
  </si>
  <si>
    <t>Origem</t>
  </si>
  <si>
    <t>Vendido para</t>
  </si>
  <si>
    <t>Data da venda</t>
  </si>
  <si>
    <t>OBS</t>
  </si>
  <si>
    <t>550</t>
  </si>
  <si>
    <t>nasceu no final da tarde e</t>
  </si>
  <si>
    <t>axfia.presa</t>
  </si>
  <si>
    <t xml:space="preserve">em ripão do </t>
  </si>
  <si>
    <t>cur.á noite.</t>
  </si>
  <si>
    <t>nasceu morta.</t>
  </si>
  <si>
    <t xml:space="preserve">Morreu fulminada p/raio em 25/04/2020 </t>
  </si>
  <si>
    <t>TOTAL</t>
  </si>
  <si>
    <t>UTILIZADO POS.C/REPROD&gt;</t>
  </si>
  <si>
    <t>Agnaldo/Sabino</t>
  </si>
  <si>
    <t>desaparecida/roubada</t>
  </si>
  <si>
    <t>descartada em 11/20, devido prob.de parto.</t>
  </si>
  <si>
    <t>Morreu em 20/12/20,devido</t>
  </si>
  <si>
    <t>aplicaçáo de med.errada</t>
  </si>
  <si>
    <t>Jan-Fev</t>
  </si>
  <si>
    <t>Fev-Mar</t>
  </si>
  <si>
    <t>Mar-Abr</t>
  </si>
  <si>
    <t>Abr-Mai</t>
  </si>
  <si>
    <t>Mai-Jun</t>
  </si>
  <si>
    <t>jun-jul</t>
  </si>
  <si>
    <t>set-out</t>
  </si>
  <si>
    <t>nov-dez</t>
  </si>
  <si>
    <t>Roque/Davi</t>
  </si>
  <si>
    <t>fabio</t>
  </si>
  <si>
    <t>mari</t>
  </si>
  <si>
    <t>M/M</t>
  </si>
  <si>
    <t xml:space="preserve">Parto de 2 bezos nascido na </t>
  </si>
  <si>
    <t>Morreu com anemia em</t>
  </si>
  <si>
    <t>desaparecida/roubada, no</t>
  </si>
  <si>
    <t xml:space="preserve">Pasto 01 em </t>
  </si>
  <si>
    <t>descartada em 06/21 - c/10,5@ - prob. Bez. Mumificado</t>
  </si>
  <si>
    <t>descartada em 07/21 - c/13,5@ - prob.de ciclagem</t>
  </si>
  <si>
    <t>descartada em 11/20 - c/11,5 @, devido prob.de ciclagem.</t>
  </si>
  <si>
    <t>descartada em 03/20 - c/12@ - devido prob. de ciclagem</t>
  </si>
  <si>
    <t>descartada em 03/20 - c/12,0@</t>
  </si>
  <si>
    <t>jul-ago</t>
  </si>
  <si>
    <t>ago-set</t>
  </si>
  <si>
    <t>out-nov</t>
  </si>
  <si>
    <t>dez-jan</t>
  </si>
  <si>
    <t>Domingos Costa/Cand.</t>
  </si>
  <si>
    <t>Luciano Costa/Cassarang.</t>
  </si>
  <si>
    <t>comple.do</t>
  </si>
  <si>
    <t xml:space="preserve">aparelho re </t>
  </si>
  <si>
    <t>produtivo.</t>
  </si>
  <si>
    <t>morreu causa desconhecida</t>
  </si>
  <si>
    <t>DESC.</t>
  </si>
  <si>
    <t xml:space="preserve">mor.09/01,devido a falta da </t>
  </si>
  <si>
    <t>morr.estra-cod.umbilical</t>
  </si>
  <si>
    <t>MATRIZES</t>
  </si>
  <si>
    <t>Morreu apos atolamento em 08/22.</t>
  </si>
  <si>
    <t>Sacrificada devido infec.gener.na vista em 07/22</t>
  </si>
  <si>
    <t>Descartada em 02/22.</t>
  </si>
  <si>
    <t>Descartada em 02/02.</t>
  </si>
  <si>
    <t>nel.pintado</t>
  </si>
  <si>
    <t>A Parir:</t>
  </si>
  <si>
    <t>Paridas</t>
  </si>
  <si>
    <t>Toque</t>
  </si>
  <si>
    <t>Resultado</t>
  </si>
  <si>
    <t>Cheias</t>
  </si>
  <si>
    <t>Vazias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</si>
  <si>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</si>
  <si>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</si>
  <si>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</si>
  <si>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</si>
  <si>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</si>
  <si>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</si>
  <si>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</si>
  <si>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</si>
  <si>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</si>
  <si>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</si>
  <si>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</si>
  <si>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</si>
  <si>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</si>
  <si>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</si>
  <si>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morreu em 18/12/22  p/causa desconhecida</t>
  </si>
  <si>
    <t>não registrado</t>
  </si>
  <si>
    <t>Carlos/faz.s.francisco</t>
  </si>
  <si>
    <t>Miro/Cand.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</si>
  <si>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</si>
  <si>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</si>
  <si>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</si>
  <si>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</si>
  <si>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</si>
  <si>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</si>
  <si>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</si>
  <si>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</si>
  <si>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</si>
  <si>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</si>
  <si>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</si>
  <si>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</si>
  <si>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</si>
  <si>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</si>
  <si>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</si>
  <si>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</si>
  <si>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</si>
  <si>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</si>
  <si>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</si>
  <si>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</si>
  <si>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</si>
  <si>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</si>
  <si>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</si>
  <si>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</si>
  <si>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</si>
  <si>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</si>
  <si>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</si>
  <si>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</si>
  <si>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</si>
  <si>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</si>
  <si>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</si>
  <si>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</si>
  <si>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</si>
  <si>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</si>
  <si>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</si>
  <si>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</si>
  <si>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</si>
  <si>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</si>
  <si>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</si>
  <si>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</si>
  <si>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</si>
  <si>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</si>
  <si>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</si>
  <si>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</si>
  <si>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</si>
  <si>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</si>
  <si>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</si>
  <si>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</si>
  <si>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</si>
  <si>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</si>
  <si>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</si>
  <si>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</si>
  <si>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</si>
  <si>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</si>
  <si>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</si>
  <si>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</si>
  <si>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</si>
  <si>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</si>
  <si>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</si>
  <si>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</si>
  <si>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</si>
  <si>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</si>
  <si>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</si>
  <si>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</si>
  <si>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</si>
  <si>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</si>
  <si>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</si>
  <si>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</si>
  <si>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</si>
  <si>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</si>
  <si>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</si>
  <si>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</si>
  <si>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</si>
  <si>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</si>
  <si>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</si>
  <si>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</si>
  <si>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</si>
  <si>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</si>
  <si>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</si>
  <si>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</si>
  <si>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</si>
  <si>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</si>
  <si>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</si>
  <si>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</si>
  <si>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</si>
  <si>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</si>
  <si>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</si>
  <si>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</si>
  <si>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</si>
  <si>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</si>
  <si>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</si>
  <si>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</si>
  <si>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</si>
  <si>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</si>
  <si>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</si>
  <si>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</si>
  <si>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</si>
  <si>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</si>
  <si>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</si>
  <si>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</si>
  <si>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</si>
  <si>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</si>
  <si>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</si>
  <si>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P/DESCARTE</t>
  </si>
  <si>
    <t>morreu em conseq.parto pre</t>
  </si>
  <si>
    <t>maturo em</t>
  </si>
  <si>
    <t>morreu em 15/01 devido ane</t>
  </si>
  <si>
    <t xml:space="preserve">mia/falta de </t>
  </si>
  <si>
    <t>leite na mae</t>
  </si>
  <si>
    <t xml:space="preserve">morreu em 07/10 de causa </t>
  </si>
  <si>
    <t>desconhec.</t>
  </si>
  <si>
    <t>DESEMPENHO REPRODUTIVO DE MATRIZES</t>
  </si>
  <si>
    <t>FAZENDAS ALMAS E TANGARA / SÃO FRANCISCO DO CONDE / BA.</t>
  </si>
  <si>
    <t>Morreu mordido p/cobra em</t>
  </si>
  <si>
    <t>no pasto06</t>
  </si>
  <si>
    <t>morreu em 07/07/23, devido as consq.de parto forcado</t>
  </si>
  <si>
    <t>morreu em 10/04//23, envenenada por ervas daninha.</t>
  </si>
  <si>
    <t xml:space="preserve"> morreu em 18/08/23 mordida por cobra.</t>
  </si>
  <si>
    <t>mor.17/10/23, debili.apos passar uma noite atolada no mangue.-pasto 5/A.</t>
  </si>
  <si>
    <t>Marcos Torres</t>
  </si>
  <si>
    <t>Arlindo Paramirim</t>
  </si>
  <si>
    <t>Descartada em 10/23 c/11,7@</t>
  </si>
  <si>
    <t>Descartada em 09/22 c/11@</t>
  </si>
  <si>
    <t>Descartada em 10/23 c/ 11,7@</t>
  </si>
  <si>
    <t>Descartada em10/23 c/11,7@</t>
  </si>
  <si>
    <t>mor.09/10/23.debili.apos uma noite presa a pata traz.na cerca.Deixou BEZ..</t>
  </si>
  <si>
    <t>Morreu</t>
  </si>
  <si>
    <t xml:space="preserve">Peso </t>
  </si>
  <si>
    <t>Indice de Ganho</t>
  </si>
  <si>
    <t>Reg.Nasc.</t>
  </si>
  <si>
    <t>SUBMAT.Substituicao de Mat</t>
  </si>
  <si>
    <t>vaca seca</t>
  </si>
  <si>
    <t>nasceu morto mumificado</t>
  </si>
  <si>
    <t>queb.perna ficando de debi</t>
  </si>
  <si>
    <t>litado</t>
  </si>
  <si>
    <t>Morreu em 18/04/24, mordida por cobra.</t>
  </si>
  <si>
    <t>Descartada para abate em 02/24 com 14@.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</si>
  <si>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</si>
  <si>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</si>
  <si>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</si>
  <si>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</si>
  <si>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</si>
  <si>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</si>
  <si>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</si>
  <si>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</si>
  <si>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</si>
  <si>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</si>
  <si>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</si>
  <si>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</si>
  <si>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</si>
  <si>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</si>
  <si>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nel.2</t>
  </si>
  <si>
    <t>nel.1</t>
  </si>
  <si>
    <t xml:space="preserve">morreu atolado no brejo </t>
  </si>
  <si>
    <t>após barra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</si>
  <si>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</si>
  <si>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</si>
  <si>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</si>
  <si>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</si>
  <si>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</si>
  <si>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</si>
  <si>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</si>
  <si>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</si>
  <si>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</si>
  <si>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</si>
  <si>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</si>
  <si>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</si>
  <si>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</si>
  <si>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</si>
  <si>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</si>
  <si>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</si>
  <si>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</si>
  <si>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</si>
  <si>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</si>
  <si>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morreu mordida por cobra em 20/06/2025</t>
  </si>
  <si>
    <t>Rótulos de Linha</t>
  </si>
  <si>
    <t>Total Geral</t>
  </si>
  <si>
    <t>Soma de Preço Real</t>
  </si>
  <si>
    <t>Contagem de Reg.Nasc.</t>
  </si>
  <si>
    <t>descartada p/abate em 24/09/24 p/Arlindo com 14,0  @</t>
  </si>
  <si>
    <t>debilitada morreu afogada na represa em15/02/25</t>
  </si>
  <si>
    <t>descartada p/abate em 20/07/25  p/Arlindo com 13,5 @</t>
  </si>
  <si>
    <t>morreu mordida p/cobra em 17/07/25 /beza.amamentada p/mat. 1020.</t>
  </si>
  <si>
    <t>CONTROLE DE PRODUÇÃO E COMERCIALIZAÇÃO DE GADO DE CORTE  - Periodo de agosto de 2013 á 2025</t>
  </si>
  <si>
    <t>Neto/Muritiba</t>
  </si>
  <si>
    <t xml:space="preserve">mor.no dia 15/11 deb.devido pisada na </t>
  </si>
  <si>
    <t xml:space="preserve"> 30/04/25 à 13/11/2025</t>
  </si>
  <si>
    <t>nel.01</t>
  </si>
  <si>
    <t>Observação</t>
  </si>
  <si>
    <t>Morto</t>
  </si>
  <si>
    <t>Roubada</t>
  </si>
  <si>
    <t>JorgeCacho</t>
  </si>
  <si>
    <t>VZ</t>
  </si>
  <si>
    <t>Vz</t>
  </si>
  <si>
    <t>Perdida no Bambuzal</t>
  </si>
  <si>
    <t>Nel.1</t>
  </si>
  <si>
    <t/>
  </si>
  <si>
    <t>SUBAMAT</t>
  </si>
  <si>
    <t>Chico Bambu</t>
  </si>
  <si>
    <t>Tua</t>
  </si>
  <si>
    <t xml:space="preserve">mor.debi.vaca seca </t>
  </si>
  <si>
    <t>p/descarte</t>
  </si>
  <si>
    <t xml:space="preserve"> 30/12/24</t>
  </si>
  <si>
    <t>p.out.matriz</t>
  </si>
  <si>
    <t>matriz s/ leite,  alimentada</t>
  </si>
  <si>
    <r>
      <t>descartada em 12/25 Arlindo 12,0</t>
    </r>
    <r>
      <rPr>
        <b/>
        <sz val="11"/>
        <color rgb="FFFF0000"/>
        <rFont val="Arial"/>
        <family val="2"/>
      </rPr>
      <t>@</t>
    </r>
  </si>
  <si>
    <t>SUBMAT</t>
  </si>
  <si>
    <t xml:space="preserve"> SUBMAT</t>
  </si>
  <si>
    <t>Sacrificada devido infec.gener.no chifre/celebro em 02/22..</t>
  </si>
  <si>
    <t>Morreu debilitada após parto.</t>
  </si>
  <si>
    <t>nel.02</t>
  </si>
  <si>
    <t>mat.974 mor.debilitada em</t>
  </si>
  <si>
    <t>mat.930 mor.debi.apos atol</t>
  </si>
  <si>
    <t>poço PB em</t>
  </si>
  <si>
    <t>.</t>
  </si>
  <si>
    <t>deb.26/02/24-vac seca</t>
  </si>
  <si>
    <t>SUBMAT.Substituica de Mat</t>
  </si>
  <si>
    <t>nasc.mor.mimificado</t>
  </si>
  <si>
    <t>luciano Costa/Cassarang.</t>
  </si>
  <si>
    <t>aborto</t>
  </si>
  <si>
    <t>01/02//2026</t>
  </si>
  <si>
    <t>mat.mor.cobr.27/07.bez.cria</t>
  </si>
  <si>
    <t>bez.mor.atol.em 28/07/2026</t>
  </si>
  <si>
    <t>aborto.bez.mumificado</t>
  </si>
  <si>
    <t>01/0202026</t>
  </si>
  <si>
    <t>nel01</t>
  </si>
  <si>
    <t>nel1</t>
  </si>
  <si>
    <t>M/F-sex0</t>
  </si>
  <si>
    <t>Descartada c/11@ p/ Luciano Moraes.em 02/26.</t>
  </si>
  <si>
    <t xml:space="preserve"> nel.branca</t>
  </si>
  <si>
    <t>nel.0l</t>
  </si>
  <si>
    <t xml:space="preserve">.morr. deb.apos atol. Em poço da PB/3R.em12/02/26.bez. Ama.p/outra matriz. </t>
  </si>
  <si>
    <t>Descartada c/12@ p/Arlindo em 12/25.</t>
  </si>
  <si>
    <t>Readiquiirida de Agnaldo/Sabino.</t>
  </si>
  <si>
    <t>. Morreu debilitada em02/01/26. Beza.criada. por outra matriz.</t>
  </si>
  <si>
    <t>abortou mumificado.</t>
  </si>
  <si>
    <t>Sócios</t>
  </si>
  <si>
    <t>FABIO</t>
  </si>
  <si>
    <t xml:space="preserve">    </t>
  </si>
  <si>
    <t>Fabio</t>
  </si>
  <si>
    <t>descartada</t>
  </si>
  <si>
    <t>descatada</t>
  </si>
  <si>
    <t>SITUAÇÃO ATUAL</t>
  </si>
  <si>
    <t>Relatório de Manejo Reprodutivo e Comercial - Fazenda
Visita do veterinário Márcio Reis em 11/11/25 para efetuar uma sessão de TOQUE em MATRIZES ocorrendo [a] visita do veterinário Márcio Reis em 11/11/25 para realização de TOQUE em 88 matrizes, incluindo 20 novilhas (bezerras prematuras), ocorrendo o resultado a [seguir]:
[Uma matriz] descartada para Arlindo com 12@ em 24/12/25.
[Resultado a] seguir: 26 matrizes CH (Cheias) e 62 matrizes VZ (Vazias).
Analisando as 62 matrizes VZ teremos:
32 matrizes com bezerros ao pé, nascidos entre 01 a 90 dias passados.
08 bezerros nascidos [identificados pelos números]: 939, 946, 973, 984, 988, 990, 1012, 1020, 1042, 1045, 1053, 1058, 1063, 1064, 1065, 1066, 1067.
Ocorrências e Observações:
Perdida no bambuzal: [Matriz identificada como] Mor[ta]. deb[ilitada]. após atol[amento] em 12/02/2026. Bezerro criado pela [vaca] 1021 [por] 120 dias.
Restando 22 matrizes para serem analisadas, [sendo estas] as matrizes com mais de 90 dias de paridas.
Feito o remanejamento dos reprodutores das propriedades.
Análise de Descarte e Vendas:
Após análise da situação reprodutiva das matrizes com 10 a 15 crias, resultando em um grupo de 11 unidades, as quais foram negociadas por 33@ [cada ou total].
Durante o ano de 2025 foram incorporadas ao rebanho 15 bezerras em janeiro e 05 em dezembro/25, de acordo com o programa SUBMAT (renovação de matrizes).
Após análise criteriosa, chegamos a 20 [matrizes] para DESCARTE:
Venda 1 (10/02/26): Vendidas 10 matrizes para Luciano Moraes, que foram: 858, 859, 876, 899, 939, 934, 943, 945, 946, 1042, para DESCARTE, no total de 100@.
Venda 2 (15/04/26): Vendidas para Luciano Moraes para DESCARTE as matrizes: 863, 867, 893, 957, 959, 963, 964, 984 e 992, em um total de 120@.
Nota: [A matriz da] Mat[éria] deb[ilitada] mor[reu] em 01/02/26. Bezerro criado pela [vaca] 1021.
Outras Baixas:
Morreu mordida por cobra.
MORREU [sem causa especificada].
Para descarte [pendente].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</si>
</sst>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3" formatCode="_-* #,##0.00_-;\-* #,##0.00_-;_-* &quot;-&quot;??_-;_-@_-"/>
    <numFmt numFmtId="164" formatCode="dd/mm/yy;@"/>
    <numFmt numFmtId="165" formatCode="[$-416]mmm\-yy;@"/>
    <numFmt numFmtId="166" formatCode="dd/mm/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24"/>
      <name val="Arial"/>
      <family val="2"/>
    </font>
    <font>
      <b/>
      <sz val="14"/>
      <color indexed="8"/>
      <name val="Calibri"/>
      <family val="2"/>
    </font>
    <font>
      <b/>
      <sz val="14"/>
      <color rgb="FFFF0000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8"/>
      <color theme="1"/>
      <name val="Arial"/>
      <family val="2"/>
    </font>
    <font>
      <sz val="14"/>
      <color theme="5"/>
      <name val="Calibri"/>
      <family val="2"/>
      <scheme val="minor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03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14" fontId="1" fillId="0" borderId="0" xfId="1" applyNumberFormat="1" applyFont="1" applyAlignment="1" applyProtection="1">
      <alignment horizontal="center"/>
      <protection hidden="1"/>
    </xf>
    <xf numFmtId="14" fontId="1" fillId="0" borderId="0" xfId="0" applyNumberFormat="1" applyFont="1" applyProtection="1">
      <protection hidden="1"/>
    </xf>
    <xf numFmtId="0" fontId="1" fillId="0" borderId="4" xfId="0" applyFont="1" applyBorder="1" applyAlignment="1" applyProtection="1">
      <alignment horizontal="right"/>
      <protection hidden="1"/>
    </xf>
    <xf numFmtId="0" fontId="3" fillId="0" borderId="0" xfId="0" applyFont="1" applyProtection="1">
      <protection hidden="1"/>
    </xf>
    <xf numFmtId="2" fontId="1" fillId="0" borderId="0" xfId="1" applyNumberFormat="1" applyFont="1" applyBorder="1" applyAlignment="1" applyProtection="1">
      <alignment horizontal="center"/>
      <protection hidden="1"/>
    </xf>
    <xf numFmtId="14" fontId="1" fillId="2" borderId="5" xfId="0" applyNumberFormat="1" applyFont="1" applyFill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3" borderId="6" xfId="0" applyFont="1" applyFill="1" applyBorder="1" applyAlignment="1" applyProtection="1">
      <alignment horizontal="center" vertical="center" wrapText="1"/>
      <protection hidden="1"/>
    </xf>
    <xf numFmtId="0" fontId="3" fillId="3" borderId="7" xfId="0" applyFont="1" applyFill="1" applyBorder="1" applyAlignment="1" applyProtection="1">
      <alignment horizontal="center" vertical="center" wrapText="1"/>
      <protection hidden="1"/>
    </xf>
    <xf numFmtId="2" fontId="3" fillId="3" borderId="7" xfId="1" applyNumberFormat="1" applyFont="1" applyFill="1" applyBorder="1" applyAlignment="1" applyProtection="1">
      <alignment horizontal="center" vertical="center" wrapText="1"/>
      <protection hidden="1"/>
    </xf>
    <xf numFmtId="0" fontId="3" fillId="3" borderId="8" xfId="0" applyFont="1" applyFill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/>
      <protection hidden="1"/>
    </xf>
    <xf numFmtId="14" fontId="1" fillId="2" borderId="7" xfId="0" applyNumberFormat="1" applyFont="1" applyFill="1" applyBorder="1" applyProtection="1">
      <protection hidden="1"/>
    </xf>
    <xf numFmtId="2" fontId="1" fillId="0" borderId="7" xfId="0" applyNumberFormat="1" applyFont="1" applyBorder="1" applyAlignment="1" applyProtection="1">
      <alignment horizontal="center"/>
      <protection hidden="1"/>
    </xf>
    <xf numFmtId="0" fontId="1" fillId="2" borderId="7" xfId="0" applyFont="1" applyFill="1" applyBorder="1" applyAlignment="1" applyProtection="1">
      <alignment horizontal="center"/>
      <protection hidden="1"/>
    </xf>
    <xf numFmtId="2" fontId="1" fillId="0" borderId="7" xfId="1" applyNumberFormat="1" applyFont="1" applyBorder="1" applyAlignment="1" applyProtection="1">
      <alignment horizontal="center"/>
      <protection hidden="1"/>
    </xf>
    <xf numFmtId="43" fontId="1" fillId="0" borderId="0" xfId="1" applyFont="1" applyFill="1" applyProtection="1">
      <protection hidden="1"/>
    </xf>
    <xf numFmtId="2" fontId="1" fillId="0" borderId="0" xfId="1" applyNumberFormat="1" applyFont="1" applyAlignment="1" applyProtection="1">
      <alignment horizontal="center"/>
      <protection hidden="1"/>
    </xf>
    <xf numFmtId="0" fontId="1" fillId="0" borderId="8" xfId="0" applyFont="1" applyBorder="1" applyProtection="1">
      <protection locked="0"/>
    </xf>
    <xf numFmtId="0" fontId="5" fillId="0" borderId="8" xfId="0" applyFont="1" applyBorder="1" applyProtection="1"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0" fillId="0" borderId="0" xfId="0" applyProtection="1">
      <protection hidden="1"/>
    </xf>
    <xf numFmtId="14" fontId="10" fillId="4" borderId="10" xfId="0" applyNumberFormat="1" applyFont="1" applyFill="1" applyBorder="1" applyAlignment="1" applyProtection="1">
      <alignment horizontal="left"/>
      <protection hidden="1"/>
    </xf>
    <xf numFmtId="0" fontId="8" fillId="4" borderId="11" xfId="0" applyFont="1" applyFill="1" applyBorder="1" applyAlignment="1" applyProtection="1">
      <alignment horizontal="left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11" fillId="0" borderId="9" xfId="0" applyFont="1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/>
      <protection hidden="1"/>
    </xf>
    <xf numFmtId="14" fontId="0" fillId="0" borderId="9" xfId="0" applyNumberFormat="1" applyBorder="1" applyAlignment="1" applyProtection="1">
      <alignment horizontal="center"/>
      <protection hidden="1"/>
    </xf>
    <xf numFmtId="2" fontId="0" fillId="0" borderId="9" xfId="0" applyNumberFormat="1" applyBorder="1" applyAlignment="1" applyProtection="1">
      <alignment horizontal="center"/>
      <protection hidden="1"/>
    </xf>
    <xf numFmtId="164" fontId="0" fillId="0" borderId="9" xfId="0" applyNumberForma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14" fontId="0" fillId="0" borderId="9" xfId="0" applyNumberForma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9" xfId="0" quotePrefix="1" applyBorder="1" applyAlignment="1" applyProtection="1">
      <alignment horizontal="center"/>
      <protection locked="0"/>
    </xf>
    <xf numFmtId="14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43" fontId="0" fillId="0" borderId="9" xfId="1" applyFont="1" applyBorder="1" applyProtection="1">
      <protection locked="0"/>
    </xf>
    <xf numFmtId="43" fontId="0" fillId="0" borderId="0" xfId="1" applyFont="1"/>
    <xf numFmtId="8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43" fontId="13" fillId="0" borderId="0" xfId="1" applyFont="1"/>
    <xf numFmtId="0" fontId="16" fillId="0" borderId="0" xfId="0" applyFont="1" applyProtection="1">
      <protection hidden="1"/>
    </xf>
    <xf numFmtId="0" fontId="13" fillId="0" borderId="9" xfId="0" applyFont="1" applyBorder="1" applyProtection="1">
      <protection locked="0"/>
    </xf>
    <xf numFmtId="14" fontId="0" fillId="0" borderId="17" xfId="0" applyNumberFormat="1" applyBorder="1" applyAlignment="1" applyProtection="1">
      <alignment horizontal="center"/>
      <protection hidden="1"/>
    </xf>
    <xf numFmtId="14" fontId="0" fillId="0" borderId="15" xfId="0" applyNumberFormat="1" applyBorder="1" applyAlignment="1" applyProtection="1">
      <alignment horizontal="center"/>
      <protection hidden="1"/>
    </xf>
    <xf numFmtId="43" fontId="13" fillId="0" borderId="9" xfId="1" applyFont="1" applyBorder="1" applyProtection="1">
      <protection locked="0"/>
    </xf>
    <xf numFmtId="14" fontId="16" fillId="0" borderId="9" xfId="0" applyNumberFormat="1" applyFont="1" applyBorder="1" applyProtection="1">
      <protection locked="0"/>
    </xf>
    <xf numFmtId="43" fontId="0" fillId="0" borderId="9" xfId="1" quotePrefix="1" applyFont="1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hidden="1"/>
    </xf>
    <xf numFmtId="14" fontId="3" fillId="0" borderId="0" xfId="0" applyNumberFormat="1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locked="0"/>
    </xf>
    <xf numFmtId="43" fontId="0" fillId="0" borderId="0" xfId="1" applyFont="1" applyProtection="1">
      <protection hidden="1"/>
    </xf>
    <xf numFmtId="164" fontId="0" fillId="0" borderId="0" xfId="0" applyNumberFormat="1" applyAlignment="1" applyProtection="1">
      <alignment horizontal="center"/>
      <protection hidden="1"/>
    </xf>
    <xf numFmtId="0" fontId="0" fillId="3" borderId="9" xfId="0" applyFill="1" applyBorder="1" applyAlignment="1" applyProtection="1">
      <alignment horizontal="center" vertical="center"/>
      <protection hidden="1"/>
    </xf>
    <xf numFmtId="0" fontId="0" fillId="3" borderId="9" xfId="0" applyFill="1" applyBorder="1" applyAlignment="1" applyProtection="1">
      <alignment horizontal="center" vertical="center" wrapText="1"/>
      <protection hidden="1"/>
    </xf>
    <xf numFmtId="164" fontId="0" fillId="3" borderId="9" xfId="0" applyNumberFormat="1" applyFill="1" applyBorder="1" applyAlignment="1" applyProtection="1">
      <alignment horizontal="center" vertical="center"/>
      <protection hidden="1"/>
    </xf>
    <xf numFmtId="14" fontId="0" fillId="3" borderId="9" xfId="0" applyNumberFormat="1" applyFill="1" applyBorder="1" applyAlignment="1" applyProtection="1">
      <alignment horizontal="center" vertical="center" wrapText="1"/>
      <protection hidden="1"/>
    </xf>
    <xf numFmtId="43" fontId="0" fillId="3" borderId="9" xfId="1" applyFont="1" applyFill="1" applyBorder="1" applyAlignment="1" applyProtection="1">
      <alignment horizontal="center" vertical="center" wrapText="1"/>
      <protection hidden="1"/>
    </xf>
    <xf numFmtId="10" fontId="0" fillId="0" borderId="0" xfId="0" applyNumberFormat="1" applyProtection="1">
      <protection hidden="1"/>
    </xf>
    <xf numFmtId="14" fontId="0" fillId="0" borderId="0" xfId="0" applyNumberFormat="1" applyProtection="1">
      <protection hidden="1"/>
    </xf>
    <xf numFmtId="14" fontId="0" fillId="0" borderId="0" xfId="2" applyNumberFormat="1" applyFont="1" applyProtection="1">
      <protection hidden="1"/>
    </xf>
    <xf numFmtId="43" fontId="0" fillId="0" borderId="0" xfId="0" applyNumberFormat="1" applyProtection="1">
      <protection hidden="1"/>
    </xf>
    <xf numFmtId="0" fontId="19" fillId="5" borderId="13" xfId="0" applyFont="1" applyFill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14" fontId="13" fillId="0" borderId="9" xfId="0" applyNumberFormat="1" applyFont="1" applyBorder="1" applyAlignment="1" applyProtection="1">
      <alignment horizontal="center"/>
      <protection locked="0"/>
    </xf>
    <xf numFmtId="14" fontId="8" fillId="4" borderId="11" xfId="0" applyNumberFormat="1" applyFont="1" applyFill="1" applyBorder="1" applyAlignment="1" applyProtection="1">
      <alignment horizontal="right"/>
      <protection locked="0"/>
    </xf>
    <xf numFmtId="0" fontId="8" fillId="4" borderId="11" xfId="0" applyFont="1" applyFill="1" applyBorder="1" applyAlignment="1" applyProtection="1">
      <alignment horizontal="left"/>
      <protection locked="0"/>
    </xf>
    <xf numFmtId="0" fontId="9" fillId="4" borderId="11" xfId="0" applyFont="1" applyFill="1" applyBorder="1" applyAlignment="1" applyProtection="1">
      <alignment horizontal="center"/>
      <protection locked="0"/>
    </xf>
    <xf numFmtId="0" fontId="8" fillId="4" borderId="11" xfId="0" applyFont="1" applyFill="1" applyBorder="1" applyProtection="1">
      <protection locked="0"/>
    </xf>
    <xf numFmtId="14" fontId="8" fillId="4" borderId="11" xfId="0" applyNumberFormat="1" applyFont="1" applyFill="1" applyBorder="1" applyProtection="1">
      <protection locked="0"/>
    </xf>
    <xf numFmtId="0" fontId="16" fillId="0" borderId="9" xfId="0" applyFont="1" applyBorder="1" applyAlignment="1" applyProtection="1">
      <alignment horizontal="center"/>
      <protection locked="0"/>
    </xf>
    <xf numFmtId="2" fontId="5" fillId="0" borderId="7" xfId="1" applyNumberFormat="1" applyFont="1" applyBorder="1" applyAlignment="1" applyProtection="1">
      <alignment horizontal="center"/>
      <protection hidden="1"/>
    </xf>
    <xf numFmtId="0" fontId="5" fillId="0" borderId="7" xfId="0" applyFont="1" applyBorder="1" applyAlignment="1" applyProtection="1">
      <alignment horizontal="center"/>
      <protection locked="0"/>
    </xf>
    <xf numFmtId="14" fontId="5" fillId="2" borderId="7" xfId="0" applyNumberFormat="1" applyFont="1" applyFill="1" applyBorder="1" applyProtection="1">
      <protection hidden="1"/>
    </xf>
    <xf numFmtId="2" fontId="5" fillId="0" borderId="7" xfId="0" applyNumberFormat="1" applyFont="1" applyBorder="1" applyAlignment="1" applyProtection="1">
      <alignment horizontal="center"/>
      <protection hidden="1"/>
    </xf>
    <xf numFmtId="0" fontId="20" fillId="0" borderId="8" xfId="0" applyFont="1" applyBorder="1" applyProtection="1">
      <protection locked="0"/>
    </xf>
    <xf numFmtId="0" fontId="13" fillId="0" borderId="9" xfId="0" quotePrefix="1" applyFont="1" applyBorder="1" applyAlignment="1" applyProtection="1">
      <alignment horizontal="center"/>
      <protection locked="0"/>
    </xf>
    <xf numFmtId="164" fontId="13" fillId="0" borderId="9" xfId="0" applyNumberFormat="1" applyFont="1" applyBorder="1" applyAlignment="1" applyProtection="1">
      <alignment horizontal="center"/>
      <protection locked="0"/>
    </xf>
    <xf numFmtId="14" fontId="13" fillId="0" borderId="9" xfId="0" applyNumberFormat="1" applyFont="1" applyBorder="1" applyProtection="1">
      <protection locked="0"/>
    </xf>
    <xf numFmtId="4" fontId="0" fillId="0" borderId="9" xfId="0" applyNumberFormat="1" applyBorder="1" applyProtection="1">
      <protection locked="0"/>
    </xf>
    <xf numFmtId="0" fontId="16" fillId="0" borderId="9" xfId="0" quotePrefix="1" applyFont="1" applyBorder="1" applyAlignment="1" applyProtection="1">
      <alignment horizontal="center"/>
      <protection locked="0"/>
    </xf>
    <xf numFmtId="164" fontId="16" fillId="0" borderId="9" xfId="0" applyNumberFormat="1" applyFont="1" applyBorder="1" applyAlignment="1" applyProtection="1">
      <alignment horizontal="center"/>
      <protection locked="0"/>
    </xf>
    <xf numFmtId="0" fontId="16" fillId="0" borderId="9" xfId="0" applyFont="1" applyBorder="1" applyProtection="1">
      <protection locked="0"/>
    </xf>
    <xf numFmtId="43" fontId="16" fillId="0" borderId="9" xfId="1" applyFont="1" applyBorder="1" applyProtection="1">
      <protection locked="0"/>
    </xf>
    <xf numFmtId="14" fontId="13" fillId="0" borderId="9" xfId="0" applyNumberFormat="1" applyFont="1" applyBorder="1" applyAlignment="1" applyProtection="1">
      <alignment horizontal="center"/>
      <protection hidden="1"/>
    </xf>
    <xf numFmtId="0" fontId="16" fillId="0" borderId="9" xfId="0" applyFont="1" applyBorder="1" applyAlignment="1" applyProtection="1">
      <alignment horizontal="center"/>
      <protection hidden="1"/>
    </xf>
    <xf numFmtId="164" fontId="18" fillId="0" borderId="9" xfId="0" applyNumberFormat="1" applyFont="1" applyBorder="1" applyAlignment="1" applyProtection="1">
      <alignment horizontal="center"/>
      <protection locked="0"/>
    </xf>
    <xf numFmtId="0" fontId="18" fillId="0" borderId="9" xfId="0" applyFont="1" applyBorder="1" applyAlignment="1" applyProtection="1">
      <alignment horizontal="center"/>
      <protection locked="0"/>
    </xf>
    <xf numFmtId="0" fontId="18" fillId="0" borderId="9" xfId="0" applyFont="1" applyBorder="1" applyProtection="1">
      <protection locked="0"/>
    </xf>
    <xf numFmtId="0" fontId="18" fillId="0" borderId="9" xfId="0" quotePrefix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9" fillId="6" borderId="15" xfId="0" applyFont="1" applyFill="1" applyBorder="1" applyAlignment="1" applyProtection="1">
      <alignment horizontal="left" vertical="center"/>
      <protection hidden="1"/>
    </xf>
    <xf numFmtId="0" fontId="15" fillId="6" borderId="17" xfId="0" applyFont="1" applyFill="1" applyBorder="1" applyAlignment="1" applyProtection="1">
      <alignment horizontal="left"/>
      <protection hidden="1"/>
    </xf>
    <xf numFmtId="0" fontId="15" fillId="6" borderId="18" xfId="0" applyFont="1" applyFill="1" applyBorder="1" applyAlignment="1" applyProtection="1">
      <alignment horizontal="center"/>
      <protection hidden="1"/>
    </xf>
    <xf numFmtId="14" fontId="0" fillId="0" borderId="0" xfId="0" applyNumberFormat="1" applyAlignment="1" applyProtection="1">
      <alignment horizontal="center"/>
      <protection hidden="1"/>
    </xf>
    <xf numFmtId="2" fontId="12" fillId="0" borderId="5" xfId="0" applyNumberFormat="1" applyFont="1" applyBorder="1" applyAlignment="1" applyProtection="1">
      <alignment horizontal="center"/>
      <protection hidden="1"/>
    </xf>
    <xf numFmtId="0" fontId="14" fillId="0" borderId="28" xfId="0" applyFont="1" applyBorder="1" applyAlignment="1" applyProtection="1">
      <alignment horizontal="left" vertical="center"/>
      <protection hidden="1"/>
    </xf>
    <xf numFmtId="14" fontId="0" fillId="0" borderId="28" xfId="0" applyNumberFormat="1" applyBorder="1" applyAlignment="1" applyProtection="1">
      <alignment horizontal="center"/>
      <protection hidden="1"/>
    </xf>
    <xf numFmtId="164" fontId="0" fillId="0" borderId="28" xfId="0" applyNumberFormat="1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43" fontId="16" fillId="0" borderId="0" xfId="1" applyFont="1" applyProtection="1">
      <protection hidden="1"/>
    </xf>
    <xf numFmtId="0" fontId="14" fillId="0" borderId="28" xfId="0" applyFont="1" applyBorder="1" applyAlignment="1" applyProtection="1">
      <alignment horizontal="center"/>
      <protection locked="0"/>
    </xf>
    <xf numFmtId="0" fontId="19" fillId="6" borderId="9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19" fillId="6" borderId="22" xfId="0" applyFont="1" applyFill="1" applyBorder="1" applyAlignment="1" applyProtection="1">
      <alignment horizontal="left" vertical="center"/>
      <protection hidden="1"/>
    </xf>
    <xf numFmtId="0" fontId="19" fillId="6" borderId="29" xfId="0" applyFont="1" applyFill="1" applyBorder="1" applyAlignment="1" applyProtection="1">
      <alignment horizontal="center" vertical="center"/>
      <protection hidden="1"/>
    </xf>
    <xf numFmtId="14" fontId="14" fillId="5" borderId="13" xfId="0" applyNumberFormat="1" applyFont="1" applyFill="1" applyBorder="1" applyAlignment="1" applyProtection="1">
      <alignment horizontal="center"/>
      <protection hidden="1"/>
    </xf>
    <xf numFmtId="0" fontId="0" fillId="5" borderId="30" xfId="0" applyFill="1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6" borderId="19" xfId="0" applyFill="1" applyBorder="1" applyAlignment="1" applyProtection="1">
      <alignment horizontal="left" vertical="top"/>
      <protection hidden="1"/>
    </xf>
    <xf numFmtId="0" fontId="0" fillId="6" borderId="20" xfId="0" applyFill="1" applyBorder="1" applyAlignment="1" applyProtection="1">
      <alignment horizontal="center" vertical="top"/>
      <protection hidden="1"/>
    </xf>
    <xf numFmtId="0" fontId="0" fillId="6" borderId="19" xfId="0" applyFill="1" applyBorder="1" applyAlignment="1" applyProtection="1">
      <alignment horizontal="center" vertical="top"/>
      <protection hidden="1"/>
    </xf>
    <xf numFmtId="0" fontId="15" fillId="6" borderId="21" xfId="0" applyFont="1" applyFill="1" applyBorder="1" applyAlignment="1" applyProtection="1">
      <alignment vertical="top"/>
      <protection hidden="1"/>
    </xf>
    <xf numFmtId="0" fontId="0" fillId="0" borderId="0" xfId="0" applyProtection="1">
      <protection locked="0" hidden="1"/>
    </xf>
    <xf numFmtId="0" fontId="21" fillId="0" borderId="31" xfId="0" applyFont="1" applyBorder="1" applyAlignment="1" applyProtection="1">
      <alignment horizontal="center"/>
      <protection locked="0"/>
    </xf>
    <xf numFmtId="166" fontId="21" fillId="0" borderId="31" xfId="0" applyNumberFormat="1" applyFont="1" applyBorder="1" applyAlignment="1" applyProtection="1">
      <alignment horizontal="center"/>
      <protection locked="0"/>
    </xf>
    <xf numFmtId="0" fontId="21" fillId="0" borderId="31" xfId="0" applyFont="1" applyBorder="1" applyProtection="1">
      <protection locked="0"/>
    </xf>
    <xf numFmtId="0" fontId="21" fillId="0" borderId="32" xfId="0" applyFont="1" applyBorder="1" applyAlignment="1" applyProtection="1">
      <alignment horizontal="center"/>
      <protection locked="0"/>
    </xf>
    <xf numFmtId="0" fontId="0" fillId="7" borderId="0" xfId="0" applyFill="1" applyProtection="1">
      <protection hidden="1"/>
    </xf>
    <xf numFmtId="14" fontId="16" fillId="0" borderId="9" xfId="0" applyNumberFormat="1" applyFont="1" applyBorder="1" applyAlignment="1" applyProtection="1">
      <alignment horizontal="center"/>
      <protection hidden="1"/>
    </xf>
    <xf numFmtId="2" fontId="16" fillId="0" borderId="9" xfId="0" applyNumberFormat="1" applyFont="1" applyBorder="1" applyAlignment="1" applyProtection="1">
      <alignment horizontal="center"/>
      <protection hidden="1"/>
    </xf>
    <xf numFmtId="0" fontId="16" fillId="0" borderId="9" xfId="0" applyFont="1" applyBorder="1" applyAlignment="1" applyProtection="1">
      <alignment horizontal="center" vertical="center"/>
      <protection locked="0"/>
    </xf>
    <xf numFmtId="164" fontId="16" fillId="0" borderId="9" xfId="0" applyNumberFormat="1" applyFont="1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hidden="1"/>
    </xf>
    <xf numFmtId="0" fontId="16" fillId="0" borderId="24" xfId="0" applyFont="1" applyBorder="1" applyAlignment="1" applyProtection="1">
      <alignment horizontal="center" vertical="center"/>
      <protection hidden="1"/>
    </xf>
    <xf numFmtId="14" fontId="19" fillId="5" borderId="14" xfId="0" applyNumberFormat="1" applyFont="1" applyFill="1" applyBorder="1" applyAlignment="1" applyProtection="1">
      <alignment horizontal="center" vertical="center"/>
      <protection hidden="1"/>
    </xf>
    <xf numFmtId="164" fontId="13" fillId="5" borderId="25" xfId="0" applyNumberFormat="1" applyFont="1" applyFill="1" applyBorder="1" applyAlignment="1" applyProtection="1">
      <alignment horizontal="center" vertical="center"/>
      <protection hidden="1"/>
    </xf>
    <xf numFmtId="0" fontId="17" fillId="5" borderId="26" xfId="0" applyFont="1" applyFill="1" applyBorder="1" applyAlignment="1" applyProtection="1">
      <alignment horizontal="center" vertical="center"/>
      <protection hidden="1"/>
    </xf>
    <xf numFmtId="0" fontId="0" fillId="5" borderId="26" xfId="0" applyFill="1" applyBorder="1" applyAlignment="1" applyProtection="1">
      <alignment horizontal="center" vertical="center"/>
      <protection hidden="1"/>
    </xf>
    <xf numFmtId="0" fontId="17" fillId="5" borderId="27" xfId="0" applyFont="1" applyFill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14" fontId="5" fillId="0" borderId="7" xfId="0" applyNumberFormat="1" applyFont="1" applyBorder="1" applyProtection="1">
      <protection hidden="1"/>
    </xf>
    <xf numFmtId="0" fontId="5" fillId="0" borderId="7" xfId="0" applyFont="1" applyBorder="1" applyAlignment="1" applyProtection="1">
      <alignment horizontal="center"/>
      <protection hidden="1"/>
    </xf>
    <xf numFmtId="2" fontId="5" fillId="0" borderId="7" xfId="1" applyNumberFormat="1" applyFont="1" applyFill="1" applyBorder="1" applyAlignment="1" applyProtection="1">
      <alignment horizontal="center"/>
      <protection hidden="1"/>
    </xf>
    <xf numFmtId="43" fontId="5" fillId="0" borderId="8" xfId="1" applyFont="1" applyFill="1" applyBorder="1" applyProtection="1">
      <protection locked="0"/>
    </xf>
    <xf numFmtId="0" fontId="8" fillId="4" borderId="12" xfId="0" applyFont="1" applyFill="1" applyBorder="1" applyProtection="1">
      <protection locked="0"/>
    </xf>
    <xf numFmtId="0" fontId="0" fillId="0" borderId="33" xfId="0" applyBorder="1" applyAlignment="1" applyProtection="1">
      <alignment horizontal="center"/>
      <protection hidden="1"/>
    </xf>
    <xf numFmtId="14" fontId="0" fillId="0" borderId="33" xfId="0" applyNumberFormat="1" applyBorder="1" applyAlignment="1" applyProtection="1">
      <alignment horizontal="center"/>
      <protection hidden="1"/>
    </xf>
    <xf numFmtId="2" fontId="0" fillId="0" borderId="33" xfId="0" applyNumberFormat="1" applyBorder="1" applyAlignment="1" applyProtection="1">
      <alignment horizontal="center"/>
      <protection hidden="1"/>
    </xf>
    <xf numFmtId="2" fontId="14" fillId="0" borderId="0" xfId="0" applyNumberFormat="1" applyFont="1" applyAlignment="1" applyProtection="1">
      <alignment horizontal="center"/>
      <protection hidden="1"/>
    </xf>
    <xf numFmtId="2" fontId="12" fillId="0" borderId="0" xfId="0" applyNumberFormat="1" applyFont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43" fontId="0" fillId="0" borderId="0" xfId="1" applyFont="1" applyAlignment="1" applyProtection="1">
      <alignment horizontal="center" vertical="center" wrapText="1"/>
      <protection hidden="1"/>
    </xf>
    <xf numFmtId="14" fontId="4" fillId="0" borderId="0" xfId="0" applyNumberFormat="1" applyFont="1" applyProtection="1">
      <protection hidden="1"/>
    </xf>
    <xf numFmtId="0" fontId="0" fillId="0" borderId="0" xfId="0" pivotButton="1"/>
    <xf numFmtId="0" fontId="0" fillId="0" borderId="0" xfId="0" applyAlignment="1">
      <alignment horizontal="left"/>
    </xf>
    <xf numFmtId="0" fontId="5" fillId="8" borderId="8" xfId="0" applyFont="1" applyFill="1" applyBorder="1" applyProtection="1">
      <protection locked="0"/>
    </xf>
    <xf numFmtId="0" fontId="23" fillId="0" borderId="9" xfId="0" applyFont="1" applyBorder="1" applyProtection="1">
      <protection locked="0"/>
    </xf>
    <xf numFmtId="14" fontId="23" fillId="0" borderId="9" xfId="0" applyNumberFormat="1" applyFont="1" applyBorder="1" applyProtection="1">
      <protection locked="0"/>
    </xf>
    <xf numFmtId="43" fontId="23" fillId="0" borderId="9" xfId="1" applyFont="1" applyBorder="1" applyProtection="1"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23" fillId="0" borderId="9" xfId="0" quotePrefix="1" applyFont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" fillId="0" borderId="6" xfId="0" applyFont="1" applyBorder="1" applyAlignment="1" applyProtection="1">
      <alignment horizontal="center"/>
      <protection locked="0" hidden="1"/>
    </xf>
    <xf numFmtId="0" fontId="25" fillId="0" borderId="9" xfId="0" applyFont="1" applyBorder="1" applyProtection="1">
      <protection locked="0"/>
    </xf>
    <xf numFmtId="0" fontId="5" fillId="0" borderId="6" xfId="0" applyFont="1" applyBorder="1" applyAlignment="1" applyProtection="1">
      <alignment horizontal="center"/>
      <protection locked="0" hidden="1"/>
    </xf>
    <xf numFmtId="0" fontId="26" fillId="0" borderId="7" xfId="0" applyFont="1" applyBorder="1" applyAlignment="1" applyProtection="1">
      <alignment horizontal="center"/>
      <protection locked="0"/>
    </xf>
    <xf numFmtId="4" fontId="0" fillId="0" borderId="0" xfId="0" applyNumberFormat="1"/>
    <xf numFmtId="0" fontId="0" fillId="0" borderId="28" xfId="0" applyBorder="1" applyAlignment="1" applyProtection="1">
      <alignment horizontal="left"/>
      <protection locked="0"/>
    </xf>
    <xf numFmtId="0" fontId="16" fillId="6" borderId="10" xfId="0" applyFont="1" applyFill="1" applyBorder="1" applyAlignment="1" applyProtection="1">
      <alignment horizontal="left" vertical="top"/>
      <protection hidden="1"/>
    </xf>
    <xf numFmtId="0" fontId="16" fillId="6" borderId="16" xfId="0" applyFont="1" applyFill="1" applyBorder="1" applyAlignment="1" applyProtection="1">
      <alignment horizontal="left" vertical="top"/>
      <protection hidden="1"/>
    </xf>
    <xf numFmtId="0" fontId="11" fillId="0" borderId="10" xfId="0" applyFont="1" applyBorder="1" applyAlignment="1" applyProtection="1">
      <alignment horizontal="center" vertical="center" wrapText="1"/>
      <protection hidden="1"/>
    </xf>
    <xf numFmtId="0" fontId="11" fillId="0" borderId="12" xfId="0" applyFont="1" applyBorder="1" applyAlignment="1" applyProtection="1">
      <alignment horizontal="center" vertical="center" wrapText="1"/>
      <protection hidden="1"/>
    </xf>
    <xf numFmtId="0" fontId="7" fillId="4" borderId="10" xfId="0" applyFont="1" applyFill="1" applyBorder="1" applyAlignment="1" applyProtection="1">
      <alignment horizontal="center" vertical="center" wrapText="1"/>
      <protection hidden="1"/>
    </xf>
    <xf numFmtId="0" fontId="7" fillId="4" borderId="11" xfId="0" applyFont="1" applyFill="1" applyBorder="1" applyAlignment="1" applyProtection="1">
      <alignment horizontal="center" vertical="center" wrapText="1"/>
      <protection hidden="1"/>
    </xf>
    <xf numFmtId="0" fontId="7" fillId="4" borderId="12" xfId="0" applyFont="1" applyFill="1" applyBorder="1" applyAlignment="1" applyProtection="1">
      <alignment horizontal="center" vertical="center" wrapText="1"/>
      <protection hidden="1"/>
    </xf>
    <xf numFmtId="0" fontId="16" fillId="6" borderId="10" xfId="0" applyFont="1" applyFill="1" applyBorder="1" applyAlignment="1" applyProtection="1">
      <alignment horizontal="left" vertical="top" wrapText="1"/>
      <protection hidden="1"/>
    </xf>
    <xf numFmtId="0" fontId="16" fillId="6" borderId="11" xfId="0" applyFont="1" applyFill="1" applyBorder="1" applyAlignment="1" applyProtection="1">
      <alignment horizontal="left" vertical="top" wrapText="1"/>
      <protection hidden="1"/>
    </xf>
    <xf numFmtId="0" fontId="16" fillId="6" borderId="12" xfId="0" applyFont="1" applyFill="1" applyBorder="1" applyAlignment="1" applyProtection="1">
      <alignment horizontal="left" vertical="top" wrapText="1"/>
      <protection hidden="1"/>
    </xf>
    <xf numFmtId="0" fontId="16" fillId="6" borderId="10" xfId="0" applyFont="1" applyFill="1" applyBorder="1" applyAlignment="1" applyProtection="1">
      <alignment horizontal="left" vertical="top"/>
      <protection hidden="1"/>
    </xf>
    <xf numFmtId="0" fontId="16" fillId="6" borderId="16" xfId="0" applyFont="1" applyFill="1" applyBorder="1" applyAlignment="1" applyProtection="1">
      <alignment horizontal="left" vertical="top"/>
      <protection hidden="1"/>
    </xf>
    <xf numFmtId="0" fontId="16" fillId="6" borderId="16" xfId="0" applyFont="1" applyFill="1" applyBorder="1" applyAlignment="1" applyProtection="1">
      <alignment horizontal="left" vertical="top" wrapText="1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43" fontId="24" fillId="0" borderId="0" xfId="1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43" fontId="0" fillId="0" borderId="0" xfId="1" applyFont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14" fontId="16" fillId="0" borderId="9" xfId="0" applyNumberFormat="1" applyFont="1" applyBorder="1" applyAlignment="1" applyProtection="1">
      <alignment horizontal="center"/>
      <protection locked="0"/>
    </xf>
    <xf numFmtId="0" fontId="15" fillId="0" borderId="9" xfId="0" applyFont="1" applyBorder="1" applyAlignment="1" applyProtection="1">
      <alignment horizontal="center"/>
      <protection locked="0"/>
    </xf>
    <xf numFmtId="17" fontId="16" fillId="0" borderId="9" xfId="0" applyNumberFormat="1" applyFont="1" applyBorder="1" applyAlignment="1" applyProtection="1">
      <alignment horizontal="center"/>
      <protection locked="0"/>
    </xf>
    <xf numFmtId="14" fontId="15" fillId="0" borderId="9" xfId="0" applyNumberFormat="1" applyFont="1" applyBorder="1" applyAlignment="1" applyProtection="1">
      <alignment horizontal="center"/>
      <protection locked="0"/>
    </xf>
    <xf numFmtId="0" fontId="16" fillId="0" borderId="9" xfId="0" quotePrefix="1" applyFont="1" applyBorder="1" applyAlignment="1" applyProtection="1">
      <alignment horizontal="center"/>
      <protection hidden="1"/>
    </xf>
    <xf numFmtId="0" fontId="16" fillId="0" borderId="29" xfId="0" applyFont="1" applyBorder="1" applyAlignment="1" applyProtection="1">
      <alignment horizontal="left" vertical="top" wrapText="1"/>
      <protection locked="0"/>
    </xf>
    <xf numFmtId="0" fontId="16" fillId="0" borderId="34" xfId="0" applyFont="1" applyBorder="1" applyAlignment="1" applyProtection="1">
      <alignment horizontal="left" vertical="top"/>
      <protection locked="0"/>
    </xf>
    <xf numFmtId="0" fontId="16" fillId="0" borderId="35" xfId="0" applyFont="1" applyBorder="1" applyAlignment="1" applyProtection="1">
      <alignment horizontal="left" vertical="top"/>
      <protection locked="0"/>
    </xf>
  </cellXfs>
  <cellStyles count="5">
    <cellStyle name="Normal" xfId="0" builtinId="0"/>
    <cellStyle name="Porcentagem" xfId="2" builtinId="5"/>
    <cellStyle name="Vírgula" xfId="1" builtinId="3"/>
    <cellStyle name="Vírgula 2" xfId="3" xr:uid="{00000000-0005-0000-0000-000003000000}"/>
    <cellStyle name="Vírgula 3" xfId="4" xr:uid="{00000000-0005-0000-0000-000004000000}"/>
  </cellStyles>
  <dxfs count="4">
    <dxf>
      <font>
        <strike/>
      </font>
    </dxf>
    <dxf>
      <font>
        <strike/>
      </font>
    </dxf>
    <dxf>
      <font>
        <strike/>
      </font>
    </dxf>
    <dxf>
      <font>
        <strike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3152775</xdr:colOff>
      <xdr:row>1</xdr:row>
      <xdr:rowOff>95250</xdr:rowOff>
    </xdr:from>
    <xdr:to>
      <xdr:col>8</xdr:col>
      <xdr:colOff>3352775</xdr:colOff>
      <xdr:row>1</xdr:row>
      <xdr:rowOff>506679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72525" y="95250"/>
          <a:ext cx="200000" cy="4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3152775</xdr:colOff>
      <xdr:row>1</xdr:row>
      <xdr:rowOff>504825</xdr:rowOff>
    </xdr:from>
    <xdr:to>
      <xdr:col>8</xdr:col>
      <xdr:colOff>3326109</xdr:colOff>
      <xdr:row>2</xdr:row>
      <xdr:rowOff>163805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72525" y="504825"/>
          <a:ext cx="171429" cy="200000"/>
        </a:xfrm>
        <a:prstGeom prst="rect">
          <a:avLst/>
        </a:prstGeom>
      </xdr:spPr>
    </xdr:pic>
    <xdr:clientData/>
  </xdr:twoCellAnchor>
  <xdr:twoCellAnchor>
    <xdr:from>
      <xdr:col>8</xdr:col>
      <xdr:colOff>3352800</xdr:colOff>
      <xdr:row>1</xdr:row>
      <xdr:rowOff>38100</xdr:rowOff>
    </xdr:from>
    <xdr:to>
      <xdr:col>8</xdr:col>
      <xdr:colOff>4905375</xdr:colOff>
      <xdr:row>2</xdr:row>
      <xdr:rowOff>171450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972550" y="38100"/>
          <a:ext cx="155257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Menor que</a:t>
          </a:r>
          <a:r>
            <a:rPr lang="pt-BR" sz="1200" baseline="0"/>
            <a:t> 13 meses</a:t>
          </a:r>
        </a:p>
        <a:p>
          <a:r>
            <a:rPr lang="pt-BR" sz="1200" baseline="0"/>
            <a:t>Entre 13 e 15 Meses</a:t>
          </a:r>
        </a:p>
        <a:p>
          <a:r>
            <a:rPr lang="pt-BR" sz="1200" baseline="0"/>
            <a:t>Maior que 15 meses</a:t>
          </a:r>
          <a:endParaRPr lang="pt-BR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o Lemos" refreshedDate="46116.917843287039" createdVersion="7" refreshedVersion="7" minRefreshableVersion="3" recordCount="967" xr:uid="{00000000-000A-0000-FFFF-FFFF09000000}">
  <cacheSource type="worksheet">
    <worksheetSource ref="C4:O971" sheet="Crias"/>
  </cacheSource>
  <cacheFields count="13">
    <cacheField name="N. de Ordem" numFmtId="0">
      <sharedItems containsMixedTypes="1" containsNumber="1" containsInteger="1" minValue="1" maxValue="973"/>
    </cacheField>
    <cacheField name="Reg.Nasc." numFmtId="0">
      <sharedItems containsMixedTypes="1" containsNumber="1" containsInteger="1" minValue="3" maxValue="1127"/>
    </cacheField>
    <cacheField name="Raça Pelagem" numFmtId="0">
      <sharedItems containsBlank="1"/>
    </cacheField>
    <cacheField name="Sexo" numFmtId="0">
      <sharedItems/>
    </cacheField>
    <cacheField name="Data Parto" numFmtId="0">
      <sharedItems containsSemiMixedTypes="0" containsNonDate="0" containsDate="1" containsString="0" minDate="2008-06-26T00:00:00" maxDate="2025-09-15T00:00:00"/>
    </cacheField>
    <cacheField name="Pai" numFmtId="0">
      <sharedItems containsBlank="1" containsMixedTypes="1" containsNumber="1" containsInteger="1" minValue="978" maxValue="1055"/>
    </cacheField>
    <cacheField name="Matriz" numFmtId="0">
      <sharedItems containsSemiMixedTypes="0" containsString="0" containsNumber="1" containsInteger="1" minValue="854" maxValue="1061"/>
    </cacheField>
    <cacheField name="Origem" numFmtId="0">
      <sharedItems/>
    </cacheField>
    <cacheField name="Vendido para" numFmtId="0">
      <sharedItems containsBlank="1" count="63">
        <s v="não registrado"/>
        <s v="Morto"/>
        <s v="Tua"/>
        <s v="Erico Hardt"/>
        <s v="Chico Bambu"/>
        <s v="Marcos Torres"/>
        <s v="Divo Amoedo"/>
        <s v="Jamilton Santos-Ca"/>
        <s v="Agnaldo/Sabino"/>
        <s v="Roubada"/>
        <s v="Roque/Davi"/>
        <s v="Domingos Costa/Cand."/>
        <s v="Luciano Costa/Cassarang."/>
        <s v="Miro/Cand."/>
        <s v="Carlos/faz.s.francisco"/>
        <s v="SUBMAT"/>
        <s v=" SUBMAT"/>
        <s v="SUBAMAT"/>
        <s v="Arlindo Paramirim"/>
        <s v="JorgeCacho"/>
        <s v="Neto/Muritiba"/>
        <s v=" "/>
        <m/>
        <s v="morreu causa desconhecida" u="1"/>
        <s v="morreu em 07/10 de causa " u="1"/>
        <s v="morreu em 18/12/22  p/causa desconhecida" u="1"/>
        <s v="morreu md cobra" u="1"/>
        <s v="Morreu em 20/12/20,devido" u="1"/>
        <s v="previsao de venda, após  abr" u="1"/>
        <s v="nasceu no final da tarde e" u="1"/>
        <s v="morreu em 28/02/19 devido" u="1"/>
        <s v="Morreu nasc. Prematuro" u="1"/>
        <s v="queb.perna ficando de debi" u="1"/>
        <s v="Parto de 2 bezos nascido na " u="1"/>
        <s v="SUBMAT.Substituicao de Mat" u="1"/>
        <s v="morreu atolado no brejo " u="1"/>
        <s v="nasceu morta." u="1"/>
        <s v="abortou" u="1"/>
        <s v="morreu mrd.cobra" u="1"/>
        <s v="Quebrou pata" u="1"/>
        <s v="morreu afogado 29/06/25" u="1"/>
        <s v="morreu mrd/cobra" u="1"/>
        <s v="JorgeCacho/Matriz morreu" u="1"/>
        <s v="morreu em conseq.parto pre" u="1"/>
        <s v="Nasceu morto" u="1"/>
        <s v="morreu md.cobra" u="1"/>
        <s v="Mor.inchaço glang." u="1"/>
        <s v="morreu debilitado devido" u="1"/>
        <s v="mor.no dia 15/11 deb.devido pisada na ar" u="1"/>
        <s v="UTILIZADO POS.C/REPROD&gt;" u="1"/>
        <s v="nasceu morto mumificado" u="1"/>
        <s v="JorgeCacho/Matriz em" u="1"/>
        <s v="desaparecida/roubada, no" u="1"/>
        <s v="mor.09/01,devido a falta da " u="1"/>
        <s v="desaparecida/roubada" u="1"/>
        <s v="doada chico bambu" u="1"/>
        <s v="morr.estra-cod.umbilical" u="1"/>
        <s v="Morreu com anemia em" u="1"/>
        <s v="matriz s/ leite  alimentado com mamadeira" u="1"/>
        <s v="morreu em 23/02, debilitado." u="1"/>
        <s v="Morreu mordido p/cobra em" u="1"/>
        <s v="morreu prd/pasto" u="1"/>
        <s v="morreu em 15/01 devido ane" u="1"/>
      </sharedItems>
    </cacheField>
    <cacheField name="Observação" numFmtId="0">
      <sharedItems containsBlank="1"/>
    </cacheField>
    <cacheField name="Data da venda" numFmtId="0">
      <sharedItems containsDate="1" containsBlank="1" containsMixedTypes="1" minDate="2014-09-14T00:00:00" maxDate="2026-02-02T00:00:00"/>
    </cacheField>
    <cacheField name="Peso (@)" numFmtId="0">
      <sharedItems containsDate="1" containsBlank="1" containsMixedTypes="1" minDate="1899-12-31T04:09:03" maxDate="1900-01-09T10:24:04"/>
    </cacheField>
    <cacheField name="Preço Real" numFmtId="0">
      <sharedItems containsBlank="1" containsMixedTypes="1" containsNumber="1" containsInteger="1" minValue="400" maxValue="3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7">
  <r>
    <n v="1"/>
    <n v="3"/>
    <m/>
    <s v="F"/>
    <d v="2008-06-26T00:00:00"/>
    <m/>
    <n v="871"/>
    <s v="Cria da Fazenda"/>
    <x v="0"/>
    <m/>
    <m/>
    <m/>
    <m/>
  </r>
  <r>
    <n v="2"/>
    <n v="4"/>
    <m/>
    <s v="F"/>
    <d v="2008-08-09T00:00:00"/>
    <m/>
    <n v="870"/>
    <s v="Cria da Fazenda"/>
    <x v="0"/>
    <m/>
    <m/>
    <m/>
    <m/>
  </r>
  <r>
    <n v="3"/>
    <n v="5"/>
    <m/>
    <s v="F"/>
    <d v="2008-08-10T00:00:00"/>
    <m/>
    <n v="872"/>
    <s v="Cria da Fazenda"/>
    <x v="0"/>
    <m/>
    <m/>
    <m/>
    <m/>
  </r>
  <r>
    <n v="4"/>
    <n v="8"/>
    <m/>
    <s v="M"/>
    <d v="2008-07-18T00:00:00"/>
    <m/>
    <n v="863"/>
    <s v="Cria da Fazenda"/>
    <x v="0"/>
    <m/>
    <m/>
    <m/>
    <m/>
  </r>
  <r>
    <n v="5"/>
    <n v="9"/>
    <m/>
    <s v="M"/>
    <d v="2008-08-16T00:00:00"/>
    <m/>
    <n v="859"/>
    <s v="Cria da Fazenda"/>
    <x v="0"/>
    <m/>
    <m/>
    <m/>
    <m/>
  </r>
  <r>
    <n v="6"/>
    <n v="11"/>
    <m/>
    <s v="M"/>
    <d v="2008-08-16T00:00:00"/>
    <m/>
    <n v="889"/>
    <s v="Cria da Fazenda"/>
    <x v="0"/>
    <m/>
    <m/>
    <m/>
    <m/>
  </r>
  <r>
    <n v="7"/>
    <n v="14"/>
    <m/>
    <s v="M"/>
    <d v="2008-07-02T00:00:00"/>
    <m/>
    <n v="882"/>
    <s v="Cria da Fazenda"/>
    <x v="0"/>
    <m/>
    <m/>
    <m/>
    <m/>
  </r>
  <r>
    <n v="8"/>
    <n v="15"/>
    <m/>
    <s v="M"/>
    <d v="2008-07-04T00:00:00"/>
    <m/>
    <n v="854"/>
    <s v="Cria da Fazenda"/>
    <x v="0"/>
    <m/>
    <m/>
    <m/>
    <m/>
  </r>
  <r>
    <n v="9"/>
    <n v="16"/>
    <m/>
    <s v="F"/>
    <d v="2008-09-24T00:00:00"/>
    <m/>
    <n v="873"/>
    <s v="Cria da Fazenda"/>
    <x v="0"/>
    <m/>
    <m/>
    <m/>
    <m/>
  </r>
  <r>
    <n v="10"/>
    <n v="19"/>
    <m/>
    <s v="F"/>
    <d v="2008-10-31T00:00:00"/>
    <m/>
    <n v="880"/>
    <s v="Cria da Fazenda"/>
    <x v="0"/>
    <m/>
    <m/>
    <m/>
    <m/>
  </r>
  <r>
    <n v="11"/>
    <n v="23"/>
    <m/>
    <s v="F"/>
    <d v="2008-11-02T00:00:00"/>
    <m/>
    <n v="881"/>
    <s v="Cria da Fazenda"/>
    <x v="0"/>
    <m/>
    <m/>
    <m/>
    <m/>
  </r>
  <r>
    <n v="12"/>
    <n v="24"/>
    <m/>
    <s v="F"/>
    <d v="2008-11-03T00:00:00"/>
    <m/>
    <n v="886"/>
    <s v="Cria da Fazenda"/>
    <x v="0"/>
    <m/>
    <m/>
    <m/>
    <m/>
  </r>
  <r>
    <s v="013"/>
    <n v="25"/>
    <m/>
    <s v="M"/>
    <d v="2008-11-03T00:00:00"/>
    <m/>
    <n v="897"/>
    <s v="Cria da Fazenda"/>
    <x v="0"/>
    <m/>
    <m/>
    <m/>
    <m/>
  </r>
  <r>
    <s v="014"/>
    <n v="26"/>
    <m/>
    <s v="F"/>
    <d v="2008-12-08T00:00:00"/>
    <m/>
    <n v="898"/>
    <s v="Cria da Fazenda"/>
    <x v="0"/>
    <m/>
    <m/>
    <m/>
    <m/>
  </r>
  <r>
    <s v="015"/>
    <n v="27"/>
    <m/>
    <s v="F"/>
    <d v="2008-12-06T00:00:00"/>
    <m/>
    <n v="890"/>
    <s v="Cria da Fazenda"/>
    <x v="0"/>
    <m/>
    <m/>
    <m/>
    <m/>
  </r>
  <r>
    <s v="016"/>
    <n v="31"/>
    <m/>
    <s v="F"/>
    <d v="2009-01-21T00:00:00"/>
    <m/>
    <n v="885"/>
    <s v="Cria da Fazenda"/>
    <x v="0"/>
    <m/>
    <m/>
    <m/>
    <m/>
  </r>
  <r>
    <s v="017"/>
    <n v="32"/>
    <m/>
    <s v="M"/>
    <d v="2009-01-22T00:00:00"/>
    <m/>
    <n v="877"/>
    <s v="Cria da Fazenda"/>
    <x v="0"/>
    <m/>
    <m/>
    <m/>
    <m/>
  </r>
  <r>
    <s v="018"/>
    <n v="33"/>
    <m/>
    <s v="F"/>
    <d v="2009-01-29T00:00:00"/>
    <m/>
    <n v="869"/>
    <s v="Cria da Fazenda"/>
    <x v="0"/>
    <m/>
    <m/>
    <m/>
    <m/>
  </r>
  <r>
    <s v="019"/>
    <n v="35"/>
    <m/>
    <s v="F"/>
    <d v="2009-01-25T00:00:00"/>
    <m/>
    <n v="926"/>
    <s v="Cria da Fazenda"/>
    <x v="0"/>
    <m/>
    <m/>
    <m/>
    <m/>
  </r>
  <r>
    <s v="020"/>
    <n v="36"/>
    <m/>
    <s v="F"/>
    <d v="2009-01-27T00:00:00"/>
    <m/>
    <n v="858"/>
    <s v="Cria da Fazenda"/>
    <x v="0"/>
    <m/>
    <m/>
    <m/>
    <m/>
  </r>
  <r>
    <s v="021"/>
    <n v="37"/>
    <m/>
    <s v="F"/>
    <d v="2009-01-29T00:00:00"/>
    <m/>
    <n v="862"/>
    <s v="Cria da Fazenda"/>
    <x v="0"/>
    <m/>
    <m/>
    <m/>
    <m/>
  </r>
  <r>
    <s v="022"/>
    <n v="40"/>
    <m/>
    <s v="M"/>
    <d v="2009-02-02T00:00:00"/>
    <m/>
    <n v="900"/>
    <s v="Cria da Fazenda"/>
    <x v="0"/>
    <m/>
    <m/>
    <m/>
    <m/>
  </r>
  <r>
    <s v="023"/>
    <n v="42"/>
    <m/>
    <s v="F"/>
    <d v="2009-02-02T00:00:00"/>
    <m/>
    <n v="874"/>
    <s v="Cria da Fazenda"/>
    <x v="0"/>
    <m/>
    <m/>
    <m/>
    <m/>
  </r>
  <r>
    <s v="024"/>
    <n v="43"/>
    <m/>
    <s v="F"/>
    <d v="2009-02-02T00:00:00"/>
    <m/>
    <n v="894"/>
    <s v="Cria da Fazenda"/>
    <x v="0"/>
    <m/>
    <m/>
    <m/>
    <m/>
  </r>
  <r>
    <s v="025"/>
    <n v="44"/>
    <m/>
    <s v="M"/>
    <d v="2009-02-09T00:00:00"/>
    <m/>
    <n v="875"/>
    <s v="Cria da Fazenda"/>
    <x v="0"/>
    <m/>
    <m/>
    <m/>
    <m/>
  </r>
  <r>
    <s v="026"/>
    <n v="45"/>
    <m/>
    <s v="F"/>
    <d v="2009-02-10T00:00:00"/>
    <m/>
    <n v="884"/>
    <s v="Cria da Fazenda"/>
    <x v="0"/>
    <m/>
    <m/>
    <m/>
    <m/>
  </r>
  <r>
    <s v="027"/>
    <n v="48"/>
    <m/>
    <s v="F"/>
    <d v="2009-02-07T00:00:00"/>
    <m/>
    <n v="876"/>
    <s v="Cria da Fazenda"/>
    <x v="0"/>
    <m/>
    <m/>
    <m/>
    <m/>
  </r>
  <r>
    <s v="028"/>
    <n v="49"/>
    <m/>
    <s v="M"/>
    <d v="2009-08-06T00:00:00"/>
    <m/>
    <n v="865"/>
    <s v="Cria da Fazenda"/>
    <x v="0"/>
    <m/>
    <m/>
    <m/>
    <m/>
  </r>
  <r>
    <s v="029"/>
    <n v="50"/>
    <m/>
    <s v="F"/>
    <d v="2009-03-06T00:00:00"/>
    <m/>
    <n v="896"/>
    <s v="Cria da Fazenda"/>
    <x v="0"/>
    <m/>
    <m/>
    <m/>
    <m/>
  </r>
  <r>
    <s v="030"/>
    <n v="52"/>
    <m/>
    <s v="F"/>
    <d v="2009-08-22T00:00:00"/>
    <m/>
    <n v="867"/>
    <s v="Cria da Fazenda"/>
    <x v="0"/>
    <m/>
    <m/>
    <m/>
    <m/>
  </r>
  <r>
    <s v="031"/>
    <n v="54"/>
    <m/>
    <s v="F"/>
    <d v="2009-05-18T00:00:00"/>
    <m/>
    <n v="893"/>
    <s v="Cria da Fazenda"/>
    <x v="0"/>
    <m/>
    <m/>
    <m/>
    <m/>
  </r>
  <r>
    <s v="032"/>
    <n v="55"/>
    <m/>
    <s v="M"/>
    <d v="2009-06-12T00:00:00"/>
    <m/>
    <n v="899"/>
    <s v="Cria da Fazenda"/>
    <x v="0"/>
    <m/>
    <m/>
    <m/>
    <m/>
  </r>
  <r>
    <s v="033"/>
    <n v="58"/>
    <m/>
    <s v="M"/>
    <d v="2009-07-09T00:00:00"/>
    <m/>
    <n v="871"/>
    <s v="Cria da Fazenda"/>
    <x v="0"/>
    <m/>
    <m/>
    <m/>
    <m/>
  </r>
  <r>
    <s v="034"/>
    <n v="62"/>
    <m/>
    <s v="M"/>
    <d v="2009-08-25T00:00:00"/>
    <m/>
    <n v="946"/>
    <s v="Cria da Fazenda"/>
    <x v="0"/>
    <m/>
    <m/>
    <m/>
    <m/>
  </r>
  <r>
    <s v="035"/>
    <n v="64"/>
    <m/>
    <s v="M"/>
    <d v="2009-08-26T00:00:00"/>
    <m/>
    <n v="930"/>
    <s v="Cria da Fazenda"/>
    <x v="0"/>
    <m/>
    <m/>
    <m/>
    <m/>
  </r>
  <r>
    <s v="036"/>
    <n v="66"/>
    <m/>
    <s v="M"/>
    <d v="2009-08-27T00:00:00"/>
    <m/>
    <n v="942"/>
    <s v="Cria da Fazenda"/>
    <x v="0"/>
    <m/>
    <m/>
    <m/>
    <m/>
  </r>
  <r>
    <s v="037"/>
    <n v="68"/>
    <m/>
    <s v="F"/>
    <d v="2009-08-30T00:00:00"/>
    <m/>
    <n v="950"/>
    <s v="Cria da Fazenda"/>
    <x v="0"/>
    <m/>
    <m/>
    <m/>
    <m/>
  </r>
  <r>
    <s v="038"/>
    <n v="70"/>
    <m/>
    <s v="M"/>
    <d v="2009-09-04T00:00:00"/>
    <m/>
    <n v="934"/>
    <s v="Cria da Fazenda"/>
    <x v="0"/>
    <m/>
    <m/>
    <m/>
    <m/>
  </r>
  <r>
    <s v="039"/>
    <n v="71"/>
    <m/>
    <s v="F"/>
    <d v="2009-09-03T00:00:00"/>
    <m/>
    <n v="933"/>
    <s v="Cria da Fazenda"/>
    <x v="0"/>
    <m/>
    <m/>
    <m/>
    <m/>
  </r>
  <r>
    <s v="040"/>
    <n v="75"/>
    <m/>
    <s v="F"/>
    <d v="2009-09-06T00:00:00"/>
    <m/>
    <n v="928"/>
    <s v="Cria da Fazenda"/>
    <x v="0"/>
    <m/>
    <m/>
    <m/>
    <m/>
  </r>
  <r>
    <s v="041"/>
    <n v="76"/>
    <m/>
    <s v="F"/>
    <d v="2009-09-05T00:00:00"/>
    <m/>
    <n v="951"/>
    <s v="Cria da Fazenda"/>
    <x v="0"/>
    <m/>
    <m/>
    <m/>
    <m/>
  </r>
  <r>
    <s v="042"/>
    <n v="77"/>
    <m/>
    <s v="M"/>
    <d v="2009-09-06T00:00:00"/>
    <m/>
    <n v="947"/>
    <s v="Cria da Fazenda"/>
    <x v="0"/>
    <m/>
    <m/>
    <m/>
    <m/>
  </r>
  <r>
    <s v="043"/>
    <n v="78"/>
    <m/>
    <s v="F"/>
    <d v="2009-09-07T00:00:00"/>
    <m/>
    <n v="944"/>
    <s v="Cria da Fazenda"/>
    <x v="0"/>
    <m/>
    <m/>
    <m/>
    <m/>
  </r>
  <r>
    <s v="044"/>
    <n v="79"/>
    <m/>
    <s v="F"/>
    <d v="2009-09-09T00:00:00"/>
    <m/>
    <n v="945"/>
    <s v="Cria da Fazenda"/>
    <x v="0"/>
    <m/>
    <m/>
    <m/>
    <m/>
  </r>
  <r>
    <s v="045"/>
    <n v="82"/>
    <m/>
    <s v="M"/>
    <d v="2009-09-10T00:00:00"/>
    <m/>
    <n v="943"/>
    <s v="Cria da Fazenda"/>
    <x v="0"/>
    <m/>
    <m/>
    <m/>
    <m/>
  </r>
  <r>
    <s v="046"/>
    <n v="84"/>
    <m/>
    <s v="M"/>
    <d v="2009-09-16T00:00:00"/>
    <m/>
    <n v="931"/>
    <s v="Cria da Fazenda"/>
    <x v="0"/>
    <m/>
    <m/>
    <m/>
    <m/>
  </r>
  <r>
    <s v="047"/>
    <n v="86"/>
    <m/>
    <s v="M"/>
    <d v="2009-09-06T00:00:00"/>
    <m/>
    <n v="949"/>
    <s v="Cria da Fazenda"/>
    <x v="0"/>
    <m/>
    <m/>
    <m/>
    <m/>
  </r>
  <r>
    <s v="048"/>
    <n v="87"/>
    <m/>
    <s v="M"/>
    <d v="2009-09-24T00:00:00"/>
    <m/>
    <n v="929"/>
    <s v="Cria da Fazenda"/>
    <x v="0"/>
    <m/>
    <m/>
    <m/>
    <m/>
  </r>
  <r>
    <s v="049"/>
    <n v="89"/>
    <m/>
    <s v="F"/>
    <d v="2009-09-29T00:00:00"/>
    <m/>
    <n v="939"/>
    <s v="Cria da Fazenda"/>
    <x v="0"/>
    <m/>
    <m/>
    <m/>
    <m/>
  </r>
  <r>
    <s v="050"/>
    <n v="91"/>
    <m/>
    <s v="M"/>
    <d v="2009-10-13T00:00:00"/>
    <m/>
    <n v="860"/>
    <s v="Cria da Fazenda"/>
    <x v="0"/>
    <m/>
    <m/>
    <m/>
    <m/>
  </r>
  <r>
    <s v="051"/>
    <n v="97"/>
    <m/>
    <s v="M"/>
    <d v="2009-11-06T00:00:00"/>
    <m/>
    <n v="898"/>
    <s v="Cria da Fazenda"/>
    <x v="0"/>
    <m/>
    <m/>
    <m/>
    <m/>
  </r>
  <r>
    <s v="052"/>
    <n v="99"/>
    <m/>
    <s v="M"/>
    <d v="2009-11-10T00:00:00"/>
    <m/>
    <n v="954"/>
    <s v="Cria da Fazenda"/>
    <x v="0"/>
    <m/>
    <m/>
    <m/>
    <m/>
  </r>
  <r>
    <s v="053"/>
    <n v="100"/>
    <m/>
    <s v="M"/>
    <d v="2009-11-13T00:00:00"/>
    <m/>
    <n v="854"/>
    <s v="Cria da Fazenda"/>
    <x v="0"/>
    <m/>
    <m/>
    <m/>
    <m/>
  </r>
  <r>
    <s v="054"/>
    <n v="101"/>
    <m/>
    <s v="M"/>
    <d v="2009-11-13T00:00:00"/>
    <m/>
    <n v="881"/>
    <s v="Cria da Fazenda"/>
    <x v="0"/>
    <m/>
    <m/>
    <m/>
    <m/>
  </r>
  <r>
    <s v="055"/>
    <n v="103"/>
    <m/>
    <s v="M"/>
    <d v="2009-11-20T00:00:00"/>
    <m/>
    <n v="886"/>
    <s v="Cria da Fazenda"/>
    <x v="0"/>
    <m/>
    <m/>
    <m/>
    <m/>
  </r>
  <r>
    <s v="056"/>
    <n v="105"/>
    <m/>
    <s v="M"/>
    <d v="2009-11-28T00:00:00"/>
    <m/>
    <n v="889"/>
    <s v="Cria da Fazenda"/>
    <x v="0"/>
    <m/>
    <m/>
    <m/>
    <m/>
  </r>
  <r>
    <s v="057"/>
    <n v="106"/>
    <m/>
    <s v="M"/>
    <d v="2009-12-23T00:00:00"/>
    <m/>
    <n v="872"/>
    <s v="Cria da Fazenda"/>
    <x v="0"/>
    <m/>
    <m/>
    <m/>
    <m/>
  </r>
  <r>
    <s v="058"/>
    <n v="107"/>
    <m/>
    <s v="F"/>
    <d v="2009-12-24T00:00:00"/>
    <m/>
    <n v="863"/>
    <s v="Cria da Fazenda"/>
    <x v="0"/>
    <m/>
    <m/>
    <m/>
    <m/>
  </r>
  <r>
    <s v="059"/>
    <n v="108"/>
    <m/>
    <s v="M"/>
    <d v="2009-12-30T00:00:00"/>
    <m/>
    <n v="859"/>
    <s v="Cria da Fazenda"/>
    <x v="0"/>
    <m/>
    <m/>
    <m/>
    <m/>
  </r>
  <r>
    <s v="060"/>
    <s v="S/R"/>
    <m/>
    <s v="F"/>
    <d v="2009-08-31T00:00:00"/>
    <m/>
    <n v="936"/>
    <s v="Cria da Fazenda"/>
    <x v="1"/>
    <s v="Morreu nasc. Prematuro"/>
    <s v="xxxxx"/>
    <s v="xxxxx"/>
    <s v="xxxxx"/>
  </r>
  <r>
    <s v="061"/>
    <s v="S/R"/>
    <m/>
    <s v="F"/>
    <d v="2010-04-21T00:00:00"/>
    <m/>
    <n v="926"/>
    <s v="Cria da Fazenda"/>
    <x v="0"/>
    <m/>
    <m/>
    <m/>
    <m/>
  </r>
  <r>
    <s v="062"/>
    <n v="75"/>
    <m/>
    <s v="F"/>
    <d v="2010-05-17T00:00:00"/>
    <m/>
    <n v="870"/>
    <s v="Cria da Fazenda"/>
    <x v="0"/>
    <m/>
    <m/>
    <m/>
    <m/>
  </r>
  <r>
    <s v="063"/>
    <n v="75"/>
    <m/>
    <s v="M"/>
    <d v="2010-06-01T00:00:00"/>
    <m/>
    <n v="862"/>
    <s v="Cria da Fazenda"/>
    <x v="0"/>
    <m/>
    <m/>
    <m/>
    <m/>
  </r>
  <r>
    <s v="064"/>
    <n v="82"/>
    <m/>
    <s v="M"/>
    <d v="2010-07-09T00:00:00"/>
    <m/>
    <n v="882"/>
    <s v="Cria da Fazenda"/>
    <x v="0"/>
    <m/>
    <m/>
    <m/>
    <m/>
  </r>
  <r>
    <s v="065"/>
    <n v="85"/>
    <m/>
    <s v="M"/>
    <d v="2010-07-24T00:00:00"/>
    <m/>
    <n v="936"/>
    <s v="Cria da Fazenda"/>
    <x v="0"/>
    <m/>
    <m/>
    <m/>
    <m/>
  </r>
  <r>
    <s v="066"/>
    <n v="86"/>
    <m/>
    <s v="M"/>
    <d v="2010-08-04T00:00:00"/>
    <m/>
    <n v="896"/>
    <s v="Cria da Fazenda"/>
    <x v="0"/>
    <m/>
    <m/>
    <m/>
    <m/>
  </r>
  <r>
    <s v="067"/>
    <n v="89"/>
    <m/>
    <s v="M"/>
    <d v="2010-06-14T00:00:00"/>
    <m/>
    <n v="876"/>
    <s v="Cria da Fazenda"/>
    <x v="0"/>
    <m/>
    <m/>
    <m/>
    <m/>
  </r>
  <r>
    <s v="068"/>
    <n v="91"/>
    <m/>
    <s v="M"/>
    <d v="2010-06-09T00:00:00"/>
    <m/>
    <n v="867"/>
    <s v="Cria da Fazenda"/>
    <x v="0"/>
    <m/>
    <m/>
    <m/>
    <m/>
  </r>
  <r>
    <s v="069"/>
    <n v="97"/>
    <m/>
    <s v="M"/>
    <d v="2010-08-10T00:00:00"/>
    <m/>
    <n v="874"/>
    <s v="Cria da Fazenda"/>
    <x v="0"/>
    <m/>
    <m/>
    <m/>
    <m/>
  </r>
  <r>
    <s v="070"/>
    <n v="99"/>
    <m/>
    <s v="M"/>
    <d v="2010-06-16T00:00:00"/>
    <m/>
    <n v="871"/>
    <s v="Cria da Fazenda"/>
    <x v="0"/>
    <m/>
    <m/>
    <m/>
    <m/>
  </r>
  <r>
    <s v="071"/>
    <n v="100"/>
    <m/>
    <s v="M"/>
    <d v="2010-09-05T00:00:00"/>
    <m/>
    <n v="900"/>
    <s v="Cria da Fazenda"/>
    <x v="0"/>
    <m/>
    <m/>
    <m/>
    <m/>
  </r>
  <r>
    <s v="072"/>
    <n v="113"/>
    <m/>
    <s v="M"/>
    <d v="2010-04-06T00:00:00"/>
    <m/>
    <n v="873"/>
    <s v="Cria da Fazenda"/>
    <x v="0"/>
    <m/>
    <m/>
    <m/>
    <m/>
  </r>
  <r>
    <s v="073"/>
    <n v="115"/>
    <m/>
    <s v="M"/>
    <d v="2010-09-24T00:00:00"/>
    <m/>
    <n v="877"/>
    <s v="Cria da Fazenda"/>
    <x v="0"/>
    <m/>
    <m/>
    <m/>
    <m/>
  </r>
  <r>
    <s v="074"/>
    <n v="118"/>
    <m/>
    <s v="M"/>
    <d v="2010-04-30T00:00:00"/>
    <m/>
    <n v="885"/>
    <s v="Cria da Fazenda"/>
    <x v="0"/>
    <m/>
    <m/>
    <m/>
    <m/>
  </r>
  <r>
    <s v="075"/>
    <n v="119"/>
    <m/>
    <s v="F"/>
    <d v="2010-05-05T00:00:00"/>
    <m/>
    <n v="880"/>
    <s v="Cria da Fazenda"/>
    <x v="0"/>
    <m/>
    <m/>
    <m/>
    <m/>
  </r>
  <r>
    <s v="076"/>
    <n v="149"/>
    <m/>
    <s v="F"/>
    <d v="2010-10-08T00:00:00"/>
    <m/>
    <n v="943"/>
    <s v="Cria da Fazenda"/>
    <x v="0"/>
    <m/>
    <m/>
    <m/>
    <m/>
  </r>
  <r>
    <s v="077"/>
    <n v="151"/>
    <m/>
    <s v="F"/>
    <d v="2010-10-11T00:00:00"/>
    <m/>
    <n v="946"/>
    <s v="Cria da Fazenda"/>
    <x v="0"/>
    <m/>
    <m/>
    <m/>
    <m/>
  </r>
  <r>
    <s v="078"/>
    <n v="152"/>
    <m/>
    <s v="F"/>
    <d v="2010-10-12T00:00:00"/>
    <m/>
    <n v="854"/>
    <s v="Cria da Fazenda"/>
    <x v="0"/>
    <m/>
    <m/>
    <m/>
    <m/>
  </r>
  <r>
    <s v="079"/>
    <n v="154"/>
    <m/>
    <s v="F"/>
    <d v="2010-10-15T00:00:00"/>
    <m/>
    <n v="899"/>
    <s v="Cria da Fazenda"/>
    <x v="0"/>
    <m/>
    <m/>
    <m/>
    <m/>
  </r>
  <r>
    <s v="080"/>
    <n v="155"/>
    <m/>
    <s v="F"/>
    <d v="2010-10-15T00:00:00"/>
    <m/>
    <n v="898"/>
    <s v="Cria da Fazenda"/>
    <x v="0"/>
    <m/>
    <m/>
    <m/>
    <m/>
  </r>
  <r>
    <s v="081"/>
    <n v="156"/>
    <m/>
    <s v="F"/>
    <d v="2010-10-15T00:00:00"/>
    <m/>
    <n v="860"/>
    <s v="Cria da Fazenda"/>
    <x v="0"/>
    <m/>
    <m/>
    <m/>
    <m/>
  </r>
  <r>
    <s v="082"/>
    <n v="158"/>
    <m/>
    <s v="M"/>
    <d v="2010-10-20T00:00:00"/>
    <m/>
    <n v="881"/>
    <s v="Cria da Fazenda"/>
    <x v="0"/>
    <m/>
    <m/>
    <m/>
    <m/>
  </r>
  <r>
    <s v="083"/>
    <n v="160"/>
    <m/>
    <s v="M"/>
    <d v="2010-10-26T00:00:00"/>
    <m/>
    <n v="956"/>
    <s v="Cria da Fazenda"/>
    <x v="0"/>
    <m/>
    <m/>
    <m/>
    <m/>
  </r>
  <r>
    <s v="084"/>
    <n v="163"/>
    <m/>
    <s v="M"/>
    <d v="2010-11-09T00:00:00"/>
    <m/>
    <n v="945"/>
    <s v="Cria da Fazenda"/>
    <x v="0"/>
    <m/>
    <m/>
    <m/>
    <m/>
  </r>
  <r>
    <s v="085"/>
    <n v="164"/>
    <m/>
    <s v="F"/>
    <d v="2010-11-13T00:00:00"/>
    <m/>
    <n v="886"/>
    <s v="Cria da Fazenda"/>
    <x v="0"/>
    <m/>
    <m/>
    <m/>
    <m/>
  </r>
  <r>
    <s v="086"/>
    <n v="165"/>
    <m/>
    <s v="F"/>
    <d v="2010-11-15T00:00:00"/>
    <m/>
    <n v="942"/>
    <s v="Cria da Fazenda"/>
    <x v="0"/>
    <m/>
    <m/>
    <m/>
    <m/>
  </r>
  <r>
    <s v="087"/>
    <n v="166"/>
    <m/>
    <s v="F"/>
    <d v="2010-12-10T00:00:00"/>
    <m/>
    <n v="933"/>
    <s v="Cria da Fazenda"/>
    <x v="0"/>
    <m/>
    <m/>
    <m/>
    <m/>
  </r>
  <r>
    <s v="088"/>
    <n v="169"/>
    <m/>
    <s v="M"/>
    <d v="2010-11-20T00:00:00"/>
    <m/>
    <n v="951"/>
    <s v="Cria da Fazenda"/>
    <x v="0"/>
    <m/>
    <m/>
    <m/>
    <m/>
  </r>
  <r>
    <s v="089"/>
    <n v="171"/>
    <m/>
    <s v="F"/>
    <d v="2010-12-04T00:00:00"/>
    <m/>
    <n v="949"/>
    <s v="Cria da Fazenda"/>
    <x v="0"/>
    <m/>
    <m/>
    <m/>
    <m/>
  </r>
  <r>
    <s v="090"/>
    <n v="172"/>
    <m/>
    <s v="M"/>
    <d v="2010-12-04T00:00:00"/>
    <m/>
    <n v="950"/>
    <s v="Cria da Fazenda"/>
    <x v="0"/>
    <m/>
    <m/>
    <m/>
    <m/>
  </r>
  <r>
    <s v="091"/>
    <n v="173"/>
    <m/>
    <s v="F"/>
    <d v="2010-12-10T00:00:00"/>
    <m/>
    <n v="933"/>
    <s v="Cria da Fazenda"/>
    <x v="0"/>
    <m/>
    <m/>
    <m/>
    <m/>
  </r>
  <r>
    <s v="092"/>
    <n v="174"/>
    <m/>
    <s v="M"/>
    <d v="2010-12-10T00:00:00"/>
    <m/>
    <n v="944"/>
    <s v="Cria da Fazenda"/>
    <x v="0"/>
    <m/>
    <m/>
    <m/>
    <m/>
  </r>
  <r>
    <s v="093"/>
    <n v="175"/>
    <m/>
    <s v="F"/>
    <d v="2010-12-12T00:00:00"/>
    <m/>
    <n v="954"/>
    <s v="Cria da Fazenda"/>
    <x v="0"/>
    <m/>
    <m/>
    <m/>
    <m/>
  </r>
  <r>
    <s v="094"/>
    <n v="224"/>
    <m/>
    <s v="F"/>
    <d v="2010-05-23T00:00:00"/>
    <m/>
    <n v="890"/>
    <s v="Cria da Fazenda"/>
    <x v="0"/>
    <m/>
    <m/>
    <m/>
    <m/>
  </r>
  <r>
    <s v="095"/>
    <n v="228"/>
    <m/>
    <s v="F"/>
    <d v="2010-03-26T00:00:00"/>
    <m/>
    <n v="897"/>
    <s v="Cria da Fazenda"/>
    <x v="0"/>
    <m/>
    <m/>
    <m/>
    <m/>
  </r>
  <r>
    <s v="096"/>
    <n v="233"/>
    <m/>
    <s v="F"/>
    <d v="2010-06-08T00:00:00"/>
    <m/>
    <n v="894"/>
    <s v="Cria da Fazenda"/>
    <x v="0"/>
    <m/>
    <m/>
    <m/>
    <m/>
  </r>
  <r>
    <s v="097"/>
    <n v="238"/>
    <m/>
    <s v="F"/>
    <d v="2010-07-02T00:00:00"/>
    <m/>
    <n v="865"/>
    <s v="Cria da Fazenda"/>
    <x v="0"/>
    <m/>
    <m/>
    <m/>
    <m/>
  </r>
  <r>
    <s v="098"/>
    <n v="240"/>
    <m/>
    <s v="F"/>
    <d v="2010-05-01T00:00:00"/>
    <m/>
    <n v="884"/>
    <s v="Cria da Fazenda"/>
    <x v="0"/>
    <m/>
    <m/>
    <m/>
    <m/>
  </r>
  <r>
    <s v="099"/>
    <n v="242"/>
    <m/>
    <s v="F"/>
    <d v="2010-07-27T00:00:00"/>
    <m/>
    <n v="869"/>
    <s v="Cria da Fazenda"/>
    <x v="0"/>
    <m/>
    <m/>
    <m/>
    <m/>
  </r>
  <r>
    <s v="100"/>
    <s v="S/R"/>
    <m/>
    <s v="M"/>
    <d v="2010-06-06T00:00:00"/>
    <m/>
    <n v="875"/>
    <s v="Cria da Fazenda"/>
    <x v="0"/>
    <m/>
    <m/>
    <m/>
    <m/>
  </r>
  <r>
    <s v="101"/>
    <s v="S/R"/>
    <m/>
    <s v="M"/>
    <d v="2010-07-30T00:00:00"/>
    <m/>
    <n v="858"/>
    <s v="Cria da Fazenda"/>
    <x v="1"/>
    <s v="morreu mrd.cobra"/>
    <s v="xxxxx"/>
    <s v="xxxxx"/>
    <s v="xxxxx"/>
  </r>
  <r>
    <s v="102"/>
    <n v="176"/>
    <m/>
    <s v="M"/>
    <d v="2011-01-10T00:00:00"/>
    <m/>
    <n v="872"/>
    <s v="Cria da Fazenda"/>
    <x v="0"/>
    <m/>
    <m/>
    <m/>
    <m/>
  </r>
  <r>
    <s v="103"/>
    <n v="177"/>
    <m/>
    <s v="M"/>
    <d v="2011-02-09T00:00:00"/>
    <m/>
    <n v="859"/>
    <s v="Cria da Fazenda"/>
    <x v="0"/>
    <m/>
    <m/>
    <m/>
    <m/>
  </r>
  <r>
    <s v="104"/>
    <n v="178"/>
    <m/>
    <s v="M"/>
    <d v="2011-03-01T00:00:00"/>
    <m/>
    <n v="926"/>
    <s v="Cria da Fazenda"/>
    <x v="0"/>
    <m/>
    <m/>
    <m/>
    <m/>
  </r>
  <r>
    <s v="105"/>
    <n v="180"/>
    <m/>
    <s v="M"/>
    <d v="2011-03-27T00:00:00"/>
    <m/>
    <n v="880"/>
    <s v="Cria da Fazenda"/>
    <x v="0"/>
    <m/>
    <m/>
    <m/>
    <m/>
  </r>
  <r>
    <s v="106"/>
    <n v="181"/>
    <m/>
    <s v="F"/>
    <d v="2011-03-31T00:00:00"/>
    <m/>
    <n v="877"/>
    <s v="Cria da Fazenda"/>
    <x v="0"/>
    <m/>
    <m/>
    <m/>
    <m/>
  </r>
  <r>
    <s v="107"/>
    <n v="182"/>
    <m/>
    <s v="M"/>
    <d v="2011-01-13T00:00:00"/>
    <m/>
    <n v="889"/>
    <s v="Cria da Fazenda"/>
    <x v="0"/>
    <m/>
    <m/>
    <m/>
    <m/>
  </r>
  <r>
    <s v="108"/>
    <n v="183"/>
    <m/>
    <s v="F"/>
    <d v="2011-05-04T00:00:00"/>
    <m/>
    <n v="884"/>
    <s v="Cria da Fazenda"/>
    <x v="0"/>
    <m/>
    <m/>
    <m/>
    <m/>
  </r>
  <r>
    <s v="109"/>
    <n v="184"/>
    <m/>
    <s v="M"/>
    <d v="2011-05-12T00:00:00"/>
    <m/>
    <n v="873"/>
    <s v="Cria da Fazenda"/>
    <x v="0"/>
    <m/>
    <m/>
    <m/>
    <m/>
  </r>
  <r>
    <s v="110"/>
    <n v="185"/>
    <m/>
    <s v="M"/>
    <d v="2011-05-19T00:00:00"/>
    <m/>
    <n v="875"/>
    <s v="Cria da Fazenda"/>
    <x v="0"/>
    <m/>
    <m/>
    <m/>
    <m/>
  </r>
  <r>
    <s v="111"/>
    <n v="186"/>
    <m/>
    <s v="F"/>
    <d v="2011-05-20T00:00:00"/>
    <m/>
    <n v="871"/>
    <s v="Cria da Fazenda"/>
    <x v="0"/>
    <m/>
    <m/>
    <m/>
    <m/>
  </r>
  <r>
    <s v="112"/>
    <n v="187"/>
    <m/>
    <s v="F"/>
    <d v="2011-06-09T00:00:00"/>
    <m/>
    <n v="897"/>
    <s v="Cria da Fazenda"/>
    <x v="0"/>
    <m/>
    <m/>
    <m/>
    <m/>
  </r>
  <r>
    <s v="113"/>
    <n v="188"/>
    <m/>
    <s v="F"/>
    <d v="2011-06-29T00:00:00"/>
    <m/>
    <n v="931"/>
    <s v="Cria da Fazenda"/>
    <x v="0"/>
    <m/>
    <m/>
    <m/>
    <m/>
  </r>
  <r>
    <s v="114"/>
    <n v="189"/>
    <m/>
    <s v="F"/>
    <d v="2011-07-03T00:00:00"/>
    <m/>
    <n v="947"/>
    <s v="Cria da Fazenda"/>
    <x v="0"/>
    <m/>
    <m/>
    <m/>
    <m/>
  </r>
  <r>
    <s v="115"/>
    <n v="191"/>
    <m/>
    <s v="F"/>
    <d v="2011-07-03T00:00:00"/>
    <m/>
    <n v="939"/>
    <s v="Cria da Fazenda"/>
    <x v="0"/>
    <m/>
    <m/>
    <m/>
    <m/>
  </r>
  <r>
    <s v="116"/>
    <n v="193"/>
    <m/>
    <s v="F"/>
    <d v="2011-07-03T00:00:00"/>
    <m/>
    <n v="890"/>
    <s v="Cria da Fazenda"/>
    <x v="0"/>
    <m/>
    <m/>
    <m/>
    <m/>
  </r>
  <r>
    <s v="117"/>
    <n v="196"/>
    <m/>
    <s v="M"/>
    <d v="2011-07-08T00:00:00"/>
    <m/>
    <n v="893"/>
    <s v="Cria da Fazenda"/>
    <x v="0"/>
    <m/>
    <m/>
    <m/>
    <m/>
  </r>
  <r>
    <s v="118"/>
    <n v="196"/>
    <m/>
    <s v="M"/>
    <d v="2011-07-09T00:00:00"/>
    <m/>
    <n v="858"/>
    <s v="Cria da Fazenda"/>
    <x v="0"/>
    <m/>
    <m/>
    <m/>
    <m/>
  </r>
  <r>
    <s v="119"/>
    <n v="196"/>
    <m/>
    <s v="M"/>
    <d v="2011-07-17T00:00:00"/>
    <m/>
    <n v="870"/>
    <s v="Cria da Fazenda"/>
    <x v="0"/>
    <m/>
    <m/>
    <m/>
    <m/>
  </r>
  <r>
    <s v="120"/>
    <n v="198"/>
    <m/>
    <s v="M"/>
    <d v="2011-07-10T00:00:00"/>
    <m/>
    <n v="928"/>
    <s v="Cria da Fazenda"/>
    <x v="0"/>
    <m/>
    <m/>
    <m/>
    <m/>
  </r>
  <r>
    <s v="121"/>
    <n v="199"/>
    <m/>
    <s v="M"/>
    <d v="2011-07-14T00:00:00"/>
    <m/>
    <n v="930"/>
    <s v="Cria da Fazenda"/>
    <x v="0"/>
    <m/>
    <m/>
    <m/>
    <m/>
  </r>
  <r>
    <s v="122"/>
    <n v="201"/>
    <m/>
    <s v="M"/>
    <d v="2011-07-15T00:00:00"/>
    <m/>
    <n v="882"/>
    <s v="Cria da Fazenda"/>
    <x v="0"/>
    <m/>
    <m/>
    <m/>
    <m/>
  </r>
  <r>
    <s v="123"/>
    <n v="202"/>
    <m/>
    <s v="M"/>
    <d v="2011-07-22T00:00:00"/>
    <m/>
    <n v="894"/>
    <s v="Cria da Fazenda"/>
    <x v="0"/>
    <m/>
    <m/>
    <m/>
    <m/>
  </r>
  <r>
    <s v="124"/>
    <n v="204"/>
    <m/>
    <s v="M"/>
    <d v="2011-07-24T00:00:00"/>
    <m/>
    <n v="862"/>
    <s v="Cria da Fazenda"/>
    <x v="0"/>
    <m/>
    <m/>
    <m/>
    <m/>
  </r>
  <r>
    <s v="125"/>
    <n v="207"/>
    <m/>
    <s v="M"/>
    <d v="2011-07-29T00:00:00"/>
    <m/>
    <n v="934"/>
    <s v="Cria da Fazenda"/>
    <x v="0"/>
    <m/>
    <m/>
    <m/>
    <m/>
  </r>
  <r>
    <s v="126"/>
    <n v="210"/>
    <m/>
    <s v="M"/>
    <d v="2011-08-08T00:00:00"/>
    <m/>
    <n v="865"/>
    <s v="Cria da Fazenda"/>
    <x v="0"/>
    <m/>
    <m/>
    <m/>
    <m/>
  </r>
  <r>
    <s v="127"/>
    <n v="212"/>
    <m/>
    <s v="F"/>
    <d v="2011-08-15T00:00:00"/>
    <m/>
    <n v="967"/>
    <s v="Cria da Fazenda"/>
    <x v="0"/>
    <m/>
    <m/>
    <m/>
    <m/>
  </r>
  <r>
    <s v="128"/>
    <n v="213"/>
    <m/>
    <s v="F"/>
    <d v="2011-08-23T00:00:00"/>
    <m/>
    <n v="951"/>
    <s v="Cria da Fazenda"/>
    <x v="0"/>
    <m/>
    <m/>
    <m/>
    <m/>
  </r>
  <r>
    <s v="129"/>
    <n v="220"/>
    <m/>
    <s v="F"/>
    <d v="2011-09-05T00:00:00"/>
    <m/>
    <n v="973"/>
    <s v="Cria da Fazenda"/>
    <x v="0"/>
    <m/>
    <m/>
    <m/>
    <m/>
  </r>
  <r>
    <s v="130"/>
    <n v="222"/>
    <m/>
    <s v="F"/>
    <d v="2011-09-09T00:00:00"/>
    <m/>
    <n v="898"/>
    <s v="Cria da Fazenda"/>
    <x v="0"/>
    <m/>
    <m/>
    <m/>
    <m/>
  </r>
  <r>
    <s v="131"/>
    <n v="223"/>
    <m/>
    <s v="M"/>
    <d v="2011-09-17T00:00:00"/>
    <m/>
    <n v="958"/>
    <s v="Cria da Fazenda"/>
    <x v="0"/>
    <m/>
    <m/>
    <m/>
    <m/>
  </r>
  <r>
    <s v="132"/>
    <n v="224"/>
    <m/>
    <s v="M"/>
    <d v="2011-09-19T00:00:00"/>
    <m/>
    <n v="964"/>
    <s v="Cria da Fazenda"/>
    <x v="0"/>
    <m/>
    <m/>
    <m/>
    <m/>
  </r>
  <r>
    <s v="133"/>
    <n v="225"/>
    <m/>
    <s v="F"/>
    <d v="2011-09-20T00:00:00"/>
    <m/>
    <n v="963"/>
    <s v="Cria da Fazenda"/>
    <x v="0"/>
    <m/>
    <m/>
    <m/>
    <m/>
  </r>
  <r>
    <s v="134"/>
    <n v="227"/>
    <m/>
    <s v="F"/>
    <d v="2011-09-20T00:00:00"/>
    <m/>
    <n v="969"/>
    <s v="Cria da Fazenda"/>
    <x v="0"/>
    <m/>
    <m/>
    <m/>
    <m/>
  </r>
  <r>
    <s v="135"/>
    <n v="228"/>
    <m/>
    <s v="F"/>
    <d v="2011-09-27T00:00:00"/>
    <m/>
    <n v="854"/>
    <s v="Cria da Fazenda"/>
    <x v="0"/>
    <m/>
    <m/>
    <m/>
    <m/>
  </r>
  <r>
    <s v="136"/>
    <n v="229"/>
    <m/>
    <s v="M"/>
    <d v="2011-09-27T00:00:00"/>
    <m/>
    <n v="965"/>
    <s v="Cria da Fazenda"/>
    <x v="0"/>
    <m/>
    <m/>
    <m/>
    <m/>
  </r>
  <r>
    <s v="137"/>
    <n v="230"/>
    <m/>
    <s v="M"/>
    <d v="2011-10-03T00:00:00"/>
    <m/>
    <n v="867"/>
    <s v="Cria da Fazenda"/>
    <x v="0"/>
    <m/>
    <m/>
    <m/>
    <m/>
  </r>
  <r>
    <s v="138"/>
    <n v="231"/>
    <m/>
    <s v="M"/>
    <d v="2011-10-03T00:00:00"/>
    <m/>
    <n v="885"/>
    <s v="Cria da Fazenda"/>
    <x v="0"/>
    <m/>
    <m/>
    <m/>
    <m/>
  </r>
  <r>
    <s v="139"/>
    <n v="233"/>
    <m/>
    <s v="F"/>
    <d v="2011-10-04T00:00:00"/>
    <m/>
    <n v="896"/>
    <s v="Cria da Fazenda"/>
    <x v="0"/>
    <m/>
    <m/>
    <m/>
    <m/>
  </r>
  <r>
    <s v="140"/>
    <n v="234"/>
    <m/>
    <s v="M"/>
    <d v="2011-10-09T00:00:00"/>
    <m/>
    <n v="869"/>
    <s v="Cria da Fazenda"/>
    <x v="0"/>
    <m/>
    <m/>
    <m/>
    <m/>
  </r>
  <r>
    <s v="141"/>
    <n v="236"/>
    <m/>
    <s v="F"/>
    <d v="2011-10-12T00:00:00"/>
    <m/>
    <n v="936"/>
    <s v="Cria da Fazenda"/>
    <x v="0"/>
    <m/>
    <m/>
    <m/>
    <m/>
  </r>
  <r>
    <s v="142"/>
    <n v="237"/>
    <m/>
    <s v="M"/>
    <d v="2011-10-15T00:00:00"/>
    <m/>
    <n v="946"/>
    <s v="Cria da Fazenda"/>
    <x v="0"/>
    <m/>
    <m/>
    <m/>
    <m/>
  </r>
  <r>
    <s v="143"/>
    <n v="238"/>
    <m/>
    <s v="F"/>
    <d v="2011-10-17T00:00:00"/>
    <m/>
    <n v="957"/>
    <s v="Cria da Fazenda"/>
    <x v="0"/>
    <m/>
    <m/>
    <m/>
    <m/>
  </r>
  <r>
    <s v="144"/>
    <n v="240"/>
    <m/>
    <s v="F"/>
    <d v="2011-10-19T00:00:00"/>
    <m/>
    <n v="956"/>
    <s v="Cria da Fazenda"/>
    <x v="0"/>
    <m/>
    <m/>
    <m/>
    <m/>
  </r>
  <r>
    <s v="145"/>
    <n v="242"/>
    <m/>
    <s v="M"/>
    <d v="2011-10-26T00:00:00"/>
    <m/>
    <n v="945"/>
    <s v="Cria da Fazenda"/>
    <x v="0"/>
    <m/>
    <m/>
    <m/>
    <m/>
  </r>
  <r>
    <s v="146"/>
    <n v="245"/>
    <m/>
    <s v="F"/>
    <d v="2011-11-03T00:00:00"/>
    <m/>
    <n v="860"/>
    <s v="Cria da Fazenda"/>
    <x v="0"/>
    <m/>
    <m/>
    <m/>
    <m/>
  </r>
  <r>
    <s v="147"/>
    <n v="246"/>
    <m/>
    <s v="F"/>
    <d v="2011-11-03T00:00:00"/>
    <m/>
    <n v="943"/>
    <s v="Cria da Fazenda"/>
    <x v="0"/>
    <m/>
    <m/>
    <m/>
    <m/>
  </r>
  <r>
    <s v="148"/>
    <n v="247"/>
    <m/>
    <s v="M"/>
    <d v="2011-11-03T00:00:00"/>
    <m/>
    <n v="954"/>
    <s v="Cria da Fazenda"/>
    <x v="0"/>
    <m/>
    <m/>
    <m/>
    <m/>
  </r>
  <r>
    <s v="149"/>
    <n v="248"/>
    <m/>
    <s v="F"/>
    <d v="2011-11-02T00:00:00"/>
    <m/>
    <n v="876"/>
    <s v="Cria da Fazenda"/>
    <x v="0"/>
    <m/>
    <m/>
    <m/>
    <m/>
  </r>
  <r>
    <s v="150"/>
    <n v="250"/>
    <m/>
    <s v="M"/>
    <d v="2011-11-09T00:00:00"/>
    <m/>
    <n v="889"/>
    <s v="Cria da Fazenda"/>
    <x v="0"/>
    <m/>
    <m/>
    <m/>
    <m/>
  </r>
  <r>
    <s v="151"/>
    <n v="251"/>
    <m/>
    <s v="F"/>
    <d v="2011-11-11T00:00:00"/>
    <m/>
    <n v="950"/>
    <s v="Cria da Fazenda"/>
    <x v="0"/>
    <m/>
    <m/>
    <m/>
    <m/>
  </r>
  <r>
    <s v="152"/>
    <n v="252"/>
    <m/>
    <s v="M"/>
    <d v="2011-11-14T00:00:00"/>
    <m/>
    <n v="863"/>
    <s v="Cria da Fazenda"/>
    <x v="0"/>
    <m/>
    <m/>
    <m/>
    <m/>
  </r>
  <r>
    <s v="153"/>
    <n v="253"/>
    <m/>
    <s v="M"/>
    <d v="2011-11-17T00:00:00"/>
    <m/>
    <n v="874"/>
    <s v="Cria da Fazenda"/>
    <x v="0"/>
    <m/>
    <m/>
    <m/>
    <m/>
  </r>
  <r>
    <s v="154"/>
    <n v="254"/>
    <m/>
    <s v="M"/>
    <d v="2011-11-17T00:00:00"/>
    <m/>
    <n v="968"/>
    <s v="Cria da Fazenda"/>
    <x v="0"/>
    <m/>
    <m/>
    <m/>
    <m/>
  </r>
  <r>
    <s v="155"/>
    <n v="255"/>
    <m/>
    <s v="M"/>
    <d v="2011-11-17T00:00:00"/>
    <m/>
    <n v="949"/>
    <s v="Cria da Fazenda"/>
    <x v="0"/>
    <m/>
    <m/>
    <m/>
    <m/>
  </r>
  <r>
    <s v="156"/>
    <n v="256"/>
    <m/>
    <s v="M"/>
    <d v="2011-11-16T00:00:00"/>
    <m/>
    <n v="900"/>
    <s v="Cria da Fazenda"/>
    <x v="0"/>
    <m/>
    <m/>
    <m/>
    <m/>
  </r>
  <r>
    <s v="157"/>
    <n v="257"/>
    <m/>
    <s v="M"/>
    <d v="2011-11-21T00:00:00"/>
    <m/>
    <n v="942"/>
    <s v="Cria da Fazenda"/>
    <x v="0"/>
    <m/>
    <m/>
    <m/>
    <m/>
  </r>
  <r>
    <s v="158"/>
    <n v="258"/>
    <m/>
    <s v="M"/>
    <d v="2011-11-22T00:00:00"/>
    <m/>
    <n v="933"/>
    <s v="Cria da Fazenda"/>
    <x v="0"/>
    <m/>
    <m/>
    <m/>
    <m/>
  </r>
  <r>
    <s v="159"/>
    <n v="259"/>
    <m/>
    <s v="F"/>
    <d v="2011-11-23T00:00:00"/>
    <m/>
    <n v="972"/>
    <s v="Cria da Fazenda"/>
    <x v="0"/>
    <m/>
    <m/>
    <m/>
    <m/>
  </r>
  <r>
    <s v="160"/>
    <n v="261"/>
    <m/>
    <s v="M"/>
    <d v="2011-11-25T00:00:00"/>
    <m/>
    <n v="974"/>
    <s v="Cria da Fazenda"/>
    <x v="0"/>
    <m/>
    <m/>
    <m/>
    <m/>
  </r>
  <r>
    <s v="161"/>
    <n v="262"/>
    <m/>
    <s v="M"/>
    <d v="2011-11-29T00:00:00"/>
    <m/>
    <n v="959"/>
    <s v="Cria da Fazenda"/>
    <x v="0"/>
    <m/>
    <m/>
    <m/>
    <m/>
  </r>
  <r>
    <s v="162"/>
    <n v="264"/>
    <m/>
    <s v="M"/>
    <d v="2011-12-19T00:00:00"/>
    <m/>
    <n v="944"/>
    <s v="Cria da Fazenda"/>
    <x v="0"/>
    <m/>
    <m/>
    <m/>
    <m/>
  </r>
  <r>
    <s v="163"/>
    <n v="268"/>
    <m/>
    <s v="M"/>
    <d v="2011-12-31T00:00:00"/>
    <m/>
    <n v="881"/>
    <s v="Cria da Fazenda"/>
    <x v="0"/>
    <m/>
    <m/>
    <m/>
    <m/>
  </r>
  <r>
    <s v="164"/>
    <n v="269"/>
    <m/>
    <s v="M"/>
    <d v="2012-01-10T00:00:00"/>
    <m/>
    <n v="859"/>
    <s v="Cria da Fazenda"/>
    <x v="0"/>
    <m/>
    <m/>
    <m/>
    <m/>
  </r>
  <r>
    <s v="165"/>
    <n v="270"/>
    <m/>
    <s v="F"/>
    <d v="2012-01-22T00:00:00"/>
    <m/>
    <n v="872"/>
    <s v="Cria da Fazenda"/>
    <x v="0"/>
    <m/>
    <m/>
    <m/>
    <m/>
  </r>
  <r>
    <s v="166"/>
    <n v="271"/>
    <m/>
    <s v="F"/>
    <d v="2012-01-26T00:00:00"/>
    <m/>
    <n v="926"/>
    <s v="Cria da Fazenda"/>
    <x v="0"/>
    <m/>
    <m/>
    <m/>
    <m/>
  </r>
  <r>
    <s v="167"/>
    <n v="272"/>
    <m/>
    <s v="M"/>
    <d v="2012-02-05T00:00:00"/>
    <m/>
    <n v="886"/>
    <s v="Cria da Fazenda"/>
    <x v="0"/>
    <m/>
    <m/>
    <m/>
    <m/>
  </r>
  <r>
    <s v="168"/>
    <n v="273"/>
    <m/>
    <s v="M"/>
    <d v="2012-02-08T00:00:00"/>
    <m/>
    <n v="929"/>
    <s v="Cria da Fazenda"/>
    <x v="0"/>
    <m/>
    <m/>
    <m/>
    <m/>
  </r>
  <r>
    <s v="169"/>
    <n v="275"/>
    <m/>
    <s v="F"/>
    <d v="2012-03-01T00:00:00"/>
    <m/>
    <n v="877"/>
    <s v="Cria da Fazenda"/>
    <x v="0"/>
    <m/>
    <m/>
    <m/>
    <m/>
  </r>
  <r>
    <s v="170"/>
    <n v="276"/>
    <m/>
    <s v="M"/>
    <d v="2012-04-22T00:00:00"/>
    <m/>
    <n v="884"/>
    <s v="Cria da Fazenda"/>
    <x v="0"/>
    <m/>
    <m/>
    <m/>
    <m/>
  </r>
  <r>
    <s v="171"/>
    <n v="278"/>
    <m/>
    <s v="F"/>
    <d v="2012-03-31T00:00:00"/>
    <m/>
    <n v="899"/>
    <s v="Cria da Fazenda"/>
    <x v="0"/>
    <m/>
    <m/>
    <m/>
    <m/>
  </r>
  <r>
    <s v="172"/>
    <n v="279"/>
    <m/>
    <s v="F"/>
    <d v="2012-03-29T00:00:00"/>
    <m/>
    <n v="880"/>
    <s v="Cria da Fazenda"/>
    <x v="0"/>
    <m/>
    <m/>
    <m/>
    <m/>
  </r>
  <r>
    <s v="173"/>
    <n v="284"/>
    <m/>
    <s v="F"/>
    <d v="2012-05-10T00:00:00"/>
    <m/>
    <n v="897"/>
    <s v="Cria da Fazenda"/>
    <x v="0"/>
    <m/>
    <m/>
    <m/>
    <m/>
  </r>
  <r>
    <s v="174"/>
    <n v="285"/>
    <m/>
    <s v="F"/>
    <d v="2012-05-21T00:00:00"/>
    <m/>
    <n v="871"/>
    <s v="Cria da Fazenda"/>
    <x v="0"/>
    <m/>
    <m/>
    <m/>
    <m/>
  </r>
  <r>
    <s v="175"/>
    <n v="286"/>
    <m/>
    <s v="F"/>
    <d v="2012-06-11T00:00:00"/>
    <m/>
    <n v="873"/>
    <s v="Cria da Fazenda"/>
    <x v="0"/>
    <m/>
    <m/>
    <m/>
    <m/>
  </r>
  <r>
    <s v="176"/>
    <n v="288"/>
    <m/>
    <s v="M"/>
    <d v="2012-06-19T00:00:00"/>
    <m/>
    <n v="939"/>
    <s v="Cria da Fazenda"/>
    <x v="0"/>
    <m/>
    <m/>
    <m/>
    <m/>
  </r>
  <r>
    <s v="177"/>
    <n v="289"/>
    <m/>
    <s v="M"/>
    <d v="2012-06-23T00:00:00"/>
    <m/>
    <n v="890"/>
    <s v="Cria da Fazenda"/>
    <x v="0"/>
    <m/>
    <m/>
    <m/>
    <m/>
  </r>
  <r>
    <s v="178"/>
    <n v="290"/>
    <m/>
    <s v="M"/>
    <d v="2012-06-27T00:00:00"/>
    <m/>
    <n v="882"/>
    <s v="Cria da Fazenda"/>
    <x v="0"/>
    <m/>
    <m/>
    <m/>
    <m/>
  </r>
  <r>
    <s v="179"/>
    <n v="291"/>
    <m/>
    <s v="M"/>
    <d v="2012-07-09T00:00:00"/>
    <m/>
    <n v="931"/>
    <s v="Cria da Fazenda"/>
    <x v="0"/>
    <m/>
    <m/>
    <m/>
    <m/>
  </r>
  <r>
    <s v="180"/>
    <n v="295"/>
    <m/>
    <s v="F"/>
    <d v="2012-07-12T00:00:00"/>
    <m/>
    <n v="870"/>
    <s v="Cria da Fazenda"/>
    <x v="0"/>
    <m/>
    <m/>
    <m/>
    <m/>
  </r>
  <r>
    <s v="181"/>
    <n v="295"/>
    <m/>
    <s v="F"/>
    <d v="2012-07-15T00:00:00"/>
    <m/>
    <n v="928"/>
    <s v="Cria da Fazenda"/>
    <x v="0"/>
    <m/>
    <m/>
    <m/>
    <m/>
  </r>
  <r>
    <s v="182"/>
    <n v="297"/>
    <m/>
    <s v="F"/>
    <d v="2012-07-16T00:00:00"/>
    <m/>
    <n v="862"/>
    <s v="Cria da Fazenda"/>
    <x v="0"/>
    <m/>
    <m/>
    <m/>
    <m/>
  </r>
  <r>
    <s v="183"/>
    <n v="299"/>
    <m/>
    <s v="F"/>
    <d v="2012-07-23T00:00:00"/>
    <m/>
    <n v="893"/>
    <s v="Cria da Fazenda"/>
    <x v="0"/>
    <m/>
    <m/>
    <m/>
    <m/>
  </r>
  <r>
    <s v="184"/>
    <n v="301"/>
    <m/>
    <s v="M"/>
    <d v="2012-07-23T00:00:00"/>
    <m/>
    <n v="898"/>
    <s v="Cria da Fazenda"/>
    <x v="0"/>
    <m/>
    <m/>
    <m/>
    <m/>
  </r>
  <r>
    <s v="185"/>
    <n v="303"/>
    <m/>
    <s v="M"/>
    <d v="2012-07-27T00:00:00"/>
    <m/>
    <n v="858"/>
    <s v="Cria da Fazenda"/>
    <x v="0"/>
    <m/>
    <m/>
    <m/>
    <m/>
  </r>
  <r>
    <s v="186"/>
    <n v="304"/>
    <m/>
    <s v="M"/>
    <d v="2012-07-25T00:00:00"/>
    <m/>
    <n v="947"/>
    <s v="Cria da Fazenda"/>
    <x v="0"/>
    <m/>
    <m/>
    <m/>
    <m/>
  </r>
  <r>
    <s v="187"/>
    <n v="305"/>
    <m/>
    <s v="M"/>
    <d v="2012-08-01T00:00:00"/>
    <m/>
    <n v="930"/>
    <s v="Cria da Fazenda"/>
    <x v="0"/>
    <m/>
    <m/>
    <m/>
    <m/>
  </r>
  <r>
    <s v="188"/>
    <n v="306"/>
    <m/>
    <s v="M"/>
    <d v="2012-08-02T00:00:00"/>
    <m/>
    <n v="934"/>
    <s v="Cria da Fazenda"/>
    <x v="0"/>
    <m/>
    <m/>
    <m/>
    <m/>
  </r>
  <r>
    <s v="189"/>
    <n v="307"/>
    <m/>
    <s v="M"/>
    <d v="2012-08-03T00:00:00"/>
    <m/>
    <n v="894"/>
    <s v="Cria da Fazenda"/>
    <x v="0"/>
    <m/>
    <m/>
    <m/>
    <m/>
  </r>
  <r>
    <s v="190"/>
    <n v="310"/>
    <m/>
    <s v="F"/>
    <d v="2012-08-18T00:00:00"/>
    <m/>
    <n v="875"/>
    <s v="Cria da Fazenda"/>
    <x v="0"/>
    <m/>
    <m/>
    <m/>
    <m/>
  </r>
  <r>
    <s v="191"/>
    <n v="313"/>
    <m/>
    <s v="F"/>
    <d v="2012-08-30T00:00:00"/>
    <m/>
    <n v="869"/>
    <s v="Cria da Fazenda"/>
    <x v="0"/>
    <m/>
    <m/>
    <m/>
    <m/>
  </r>
  <r>
    <s v="192"/>
    <n v="316"/>
    <m/>
    <s v="M"/>
    <d v="2012-09-08T00:00:00"/>
    <m/>
    <n v="854"/>
    <s v="Cria da Fazenda"/>
    <x v="0"/>
    <m/>
    <m/>
    <m/>
    <m/>
  </r>
  <r>
    <s v="193"/>
    <n v="318"/>
    <m/>
    <s v="M"/>
    <d v="2012-09-17T00:00:00"/>
    <m/>
    <n v="956"/>
    <s v="Cria da Fazenda"/>
    <x v="0"/>
    <m/>
    <m/>
    <m/>
    <m/>
  </r>
  <r>
    <s v="194"/>
    <n v="319"/>
    <m/>
    <s v="M"/>
    <d v="2012-12-19T00:00:00"/>
    <m/>
    <n v="865"/>
    <s v="Cria da Fazenda"/>
    <x v="0"/>
    <m/>
    <m/>
    <m/>
    <m/>
  </r>
  <r>
    <s v="195"/>
    <n v="320"/>
    <m/>
    <s v="M"/>
    <d v="2012-09-19T00:00:00"/>
    <m/>
    <n v="957"/>
    <s v="Cria da Fazenda"/>
    <x v="0"/>
    <m/>
    <m/>
    <m/>
    <m/>
  </r>
  <r>
    <s v="196"/>
    <n v="320"/>
    <s v="nel.branca"/>
    <s v="M"/>
    <d v="2012-09-19T00:00:00"/>
    <s v="TUA"/>
    <n v="959"/>
    <s v="Cria da Fazenda"/>
    <x v="2"/>
    <s v="UTILIZADO POS.C/REPROD&gt;"/>
    <d v="2019-03-15T00:00:00"/>
    <n v="26"/>
    <n v="3900"/>
  </r>
  <r>
    <s v="197"/>
    <n v="323"/>
    <m/>
    <s v="M"/>
    <d v="2012-09-25T00:00:00"/>
    <m/>
    <n v="867"/>
    <s v="Cria da Fazenda"/>
    <x v="0"/>
    <m/>
    <m/>
    <m/>
    <m/>
  </r>
  <r>
    <s v="198"/>
    <n v="325"/>
    <m/>
    <s v="F"/>
    <d v="2012-10-04T00:00:00"/>
    <m/>
    <n v="876"/>
    <s v="Cria da Fazenda"/>
    <x v="0"/>
    <m/>
    <m/>
    <m/>
    <m/>
  </r>
  <r>
    <s v="199"/>
    <n v="326"/>
    <m/>
    <s v="F"/>
    <d v="2012-10-05T00:00:00"/>
    <m/>
    <n v="885"/>
    <s v="Cria da Fazenda"/>
    <x v="1"/>
    <s v="morreu mrd/cobra"/>
    <s v="xxxxx"/>
    <s v="xxxxx"/>
    <s v="xxxxx"/>
  </r>
  <r>
    <s v="200"/>
    <n v="327"/>
    <m/>
    <s v="F"/>
    <d v="2012-10-08T00:00:00"/>
    <m/>
    <n v="974"/>
    <s v="Cria da Fazenda"/>
    <x v="0"/>
    <m/>
    <m/>
    <m/>
    <m/>
  </r>
  <r>
    <s v="201"/>
    <n v="329"/>
    <m/>
    <s v="M"/>
    <d v="2012-10-09T00:00:00"/>
    <m/>
    <n v="936"/>
    <s v="Cria da Fazenda"/>
    <x v="0"/>
    <m/>
    <m/>
    <m/>
    <m/>
  </r>
  <r>
    <s v="202"/>
    <n v="331"/>
    <m/>
    <s v="F"/>
    <d v="2012-10-16T00:00:00"/>
    <m/>
    <n v="863"/>
    <s v="Cria da Fazenda"/>
    <x v="0"/>
    <m/>
    <m/>
    <m/>
    <m/>
  </r>
  <r>
    <s v="203"/>
    <n v="332"/>
    <m/>
    <s v="F"/>
    <d v="2012-09-20T00:00:00"/>
    <m/>
    <n v="964"/>
    <s v="Cria da Fazenda"/>
    <x v="0"/>
    <m/>
    <m/>
    <m/>
    <m/>
  </r>
  <r>
    <s v="204"/>
    <n v="332"/>
    <m/>
    <s v="M"/>
    <d v="2012-10-24T00:00:00"/>
    <m/>
    <n v="954"/>
    <s v="Cria da Fazenda"/>
    <x v="0"/>
    <m/>
    <m/>
    <m/>
    <m/>
  </r>
  <r>
    <s v="205"/>
    <n v="333"/>
    <m/>
    <s v="F"/>
    <d v="2012-10-25T00:00:00"/>
    <m/>
    <n v="950"/>
    <s v="Cria da Fazenda"/>
    <x v="0"/>
    <m/>
    <m/>
    <m/>
    <m/>
  </r>
  <r>
    <s v="206"/>
    <n v="334"/>
    <m/>
    <s v="F"/>
    <d v="2012-11-01T00:00:00"/>
    <m/>
    <n v="946"/>
    <s v="Cria da Fazenda"/>
    <x v="0"/>
    <m/>
    <m/>
    <m/>
    <m/>
  </r>
  <r>
    <s v="207"/>
    <n v="336"/>
    <m/>
    <s v="F"/>
    <d v="2012-11-04T00:00:00"/>
    <m/>
    <n v="860"/>
    <s v="Cria da Fazenda"/>
    <x v="0"/>
    <m/>
    <m/>
    <m/>
    <m/>
  </r>
  <r>
    <s v="208"/>
    <n v="337"/>
    <m/>
    <s v="F"/>
    <d v="2012-11-05T00:00:00"/>
    <m/>
    <n v="973"/>
    <s v="Cria da Fazenda"/>
    <x v="0"/>
    <m/>
    <m/>
    <m/>
    <m/>
  </r>
  <r>
    <s v="209"/>
    <n v="339"/>
    <m/>
    <s v="M"/>
    <d v="2012-11-14T00:00:00"/>
    <m/>
    <n v="967"/>
    <s v="Cria da Fazenda"/>
    <x v="0"/>
    <m/>
    <m/>
    <m/>
    <m/>
  </r>
  <r>
    <s v="210"/>
    <n v="340"/>
    <m/>
    <s v="F"/>
    <d v="2012-11-15T00:00:00"/>
    <m/>
    <n v="933"/>
    <s v="Cria da Fazenda"/>
    <x v="0"/>
    <m/>
    <m/>
    <m/>
    <m/>
  </r>
  <r>
    <s v="211"/>
    <n v="341"/>
    <m/>
    <s v="M"/>
    <d v="2012-11-19T00:00:00"/>
    <m/>
    <n v="889"/>
    <s v="Cria da Fazenda"/>
    <x v="0"/>
    <m/>
    <m/>
    <m/>
    <m/>
  </r>
  <r>
    <s v="212"/>
    <n v="342"/>
    <m/>
    <s v="F"/>
    <d v="2012-11-28T00:00:00"/>
    <m/>
    <n v="969"/>
    <s v="Cria da Fazenda"/>
    <x v="0"/>
    <m/>
    <m/>
    <m/>
    <m/>
  </r>
  <r>
    <s v="213"/>
    <n v="344"/>
    <m/>
    <s v="F"/>
    <d v="2012-11-25T00:00:00"/>
    <m/>
    <n v="965"/>
    <s v="Cria da Fazenda"/>
    <x v="0"/>
    <m/>
    <m/>
    <m/>
    <m/>
  </r>
  <r>
    <s v="214"/>
    <n v="345"/>
    <m/>
    <s v="F"/>
    <d v="2012-12-03T00:00:00"/>
    <m/>
    <n v="949"/>
    <s v="Cria da Fazenda"/>
    <x v="0"/>
    <m/>
    <m/>
    <m/>
    <m/>
  </r>
  <r>
    <s v="215"/>
    <n v="346"/>
    <m/>
    <s v="F"/>
    <d v="2012-12-06T00:00:00"/>
    <m/>
    <n v="859"/>
    <s v="Cria da Fazenda"/>
    <x v="0"/>
    <m/>
    <m/>
    <m/>
    <m/>
  </r>
  <r>
    <s v="216"/>
    <n v="347"/>
    <m/>
    <s v="M"/>
    <d v="2012-12-11T00:00:00"/>
    <m/>
    <n v="872"/>
    <s v="Cria da Fazenda"/>
    <x v="0"/>
    <m/>
    <m/>
    <m/>
    <m/>
  </r>
  <r>
    <s v="217"/>
    <n v="350"/>
    <m/>
    <s v="M"/>
    <d v="2012-12-21T00:00:00"/>
    <m/>
    <n v="881"/>
    <s v="Cria da Fazenda"/>
    <x v="0"/>
    <m/>
    <m/>
    <m/>
    <m/>
  </r>
  <r>
    <s v="218"/>
    <n v="351"/>
    <m/>
    <s v="F"/>
    <d v="2012-12-28T00:00:00"/>
    <m/>
    <n v="874"/>
    <s v="Cria da Fazenda"/>
    <x v="0"/>
    <m/>
    <m/>
    <m/>
    <m/>
  </r>
  <r>
    <s v="219"/>
    <n v="352"/>
    <m/>
    <s v="M"/>
    <d v="2012-12-29T00:00:00"/>
    <m/>
    <n v="886"/>
    <s v="Cria da Fazenda"/>
    <x v="0"/>
    <m/>
    <m/>
    <m/>
    <m/>
  </r>
  <r>
    <s v="220"/>
    <n v="353"/>
    <m/>
    <s v="M"/>
    <d v="2012-12-31T00:00:00"/>
    <m/>
    <n v="926"/>
    <s v="Cria da Fazenda"/>
    <x v="0"/>
    <m/>
    <m/>
    <m/>
    <m/>
  </r>
  <r>
    <s v="222"/>
    <s v="S/R"/>
    <m/>
    <s v="F"/>
    <d v="2012-06-01T00:00:00"/>
    <m/>
    <n v="896"/>
    <s v="Cria da Fazenda"/>
    <x v="1"/>
    <s v="abortou"/>
    <s v="xxxxx"/>
    <s v="xxxxx"/>
    <s v="xxxxx"/>
  </r>
  <r>
    <s v="223"/>
    <n v="465"/>
    <s v="nel.castanha"/>
    <s v="F"/>
    <d v="2012-11-22T00:00:00"/>
    <n v="1043"/>
    <n v="963"/>
    <s v="Cria da Fazenda"/>
    <x v="3"/>
    <m/>
    <d v="2015-11-17T00:00:00"/>
    <n v="5.32"/>
    <n v="984"/>
  </r>
  <r>
    <s v="224"/>
    <s v="S/R"/>
    <m/>
    <s v="F"/>
    <d v="2012-05-09T00:00:00"/>
    <m/>
    <n v="966"/>
    <s v="Cria da Fazenda"/>
    <x v="0"/>
    <m/>
    <m/>
    <m/>
    <m/>
  </r>
  <r>
    <s v="225"/>
    <s v="S/R"/>
    <m/>
    <s v="F"/>
    <d v="2012-10-19T00:00:00"/>
    <m/>
    <n v="945"/>
    <s v="Cria da Fazenda"/>
    <x v="4"/>
    <s v="doada chico bambu"/>
    <m/>
    <m/>
    <m/>
  </r>
  <r>
    <s v="228"/>
    <n v="279"/>
    <m/>
    <s v="F"/>
    <d v="2013-06-26T00:00:00"/>
    <m/>
    <n v="882"/>
    <s v="Cria da Fazenda"/>
    <x v="0"/>
    <m/>
    <m/>
    <m/>
    <m/>
  </r>
  <r>
    <s v="229"/>
    <n v="354"/>
    <m/>
    <s v="M"/>
    <d v="2013-01-01T00:00:00"/>
    <m/>
    <n v="944"/>
    <s v="Cria da Fazenda"/>
    <x v="0"/>
    <m/>
    <m/>
    <m/>
    <m/>
  </r>
  <r>
    <s v="230"/>
    <n v="356"/>
    <m/>
    <s v="F"/>
    <d v="2013-11-06T00:00:00"/>
    <m/>
    <n v="900"/>
    <s v="Cria da Fazenda"/>
    <x v="0"/>
    <m/>
    <m/>
    <m/>
    <m/>
  </r>
  <r>
    <n v="508"/>
    <n v="357"/>
    <m/>
    <s v="M"/>
    <d v="2013-01-07T00:00:00"/>
    <m/>
    <n v="929"/>
    <s v="Cria da Fazenda"/>
    <x v="0"/>
    <m/>
    <m/>
    <m/>
    <m/>
  </r>
  <r>
    <s v="233"/>
    <n v="358"/>
    <m/>
    <s v="M"/>
    <d v="2013-01-17T00:00:00"/>
    <m/>
    <n v="942"/>
    <s v="Cria da Fazenda"/>
    <x v="0"/>
    <m/>
    <m/>
    <m/>
    <m/>
  </r>
  <r>
    <s v="234"/>
    <n v="359"/>
    <m/>
    <s v="F"/>
    <d v="2013-02-08T00:00:00"/>
    <m/>
    <n v="963"/>
    <s v="Cria da Fazenda"/>
    <x v="0"/>
    <m/>
    <m/>
    <m/>
    <m/>
  </r>
  <r>
    <s v="235"/>
    <n v="360"/>
    <m/>
    <s v="F"/>
    <d v="2013-02-09T00:00:00"/>
    <m/>
    <n v="877"/>
    <s v="Cria da Fazenda"/>
    <x v="0"/>
    <m/>
    <m/>
    <m/>
    <m/>
  </r>
  <r>
    <s v="236"/>
    <n v="361"/>
    <m/>
    <s v="M"/>
    <d v="2013-03-06T00:00:00"/>
    <m/>
    <n v="899"/>
    <s v="Cria da Fazenda"/>
    <x v="0"/>
    <m/>
    <m/>
    <m/>
    <m/>
  </r>
  <r>
    <s v="237"/>
    <n v="362"/>
    <m/>
    <s v="F"/>
    <d v="2013-04-01T00:00:00"/>
    <m/>
    <n v="966"/>
    <s v="Cria da Fazenda"/>
    <x v="0"/>
    <m/>
    <m/>
    <m/>
    <m/>
  </r>
  <r>
    <s v="238"/>
    <n v="363"/>
    <m/>
    <s v="F"/>
    <d v="2013-04-21T00:00:00"/>
    <m/>
    <n v="943"/>
    <s v="Cria da Fazenda"/>
    <x v="0"/>
    <m/>
    <m/>
    <m/>
    <m/>
  </r>
  <r>
    <s v="239"/>
    <n v="367"/>
    <m/>
    <s v="F"/>
    <d v="2013-05-20T00:00:00"/>
    <m/>
    <n v="939"/>
    <s v="Cria da Fazenda"/>
    <x v="0"/>
    <m/>
    <m/>
    <m/>
    <m/>
  </r>
  <r>
    <s v="240"/>
    <n v="368"/>
    <m/>
    <s v="F"/>
    <d v="2013-05-23T00:00:00"/>
    <m/>
    <n v="873"/>
    <s v="Cria da Fazenda"/>
    <x v="1"/>
    <s v="morreu md.cobra"/>
    <s v="xxxxx"/>
    <s v="xxxxx"/>
    <s v="xxxxx"/>
  </r>
  <r>
    <s v="242"/>
    <n v="369"/>
    <m/>
    <s v="F"/>
    <d v="2013-05-26T00:00:00"/>
    <m/>
    <n v="972"/>
    <s v="Cria da Fazenda"/>
    <x v="0"/>
    <m/>
    <m/>
    <m/>
    <m/>
  </r>
  <r>
    <s v="243"/>
    <n v="370"/>
    <m/>
    <s v="F"/>
    <d v="2013-05-26T00:00:00"/>
    <m/>
    <n v="880"/>
    <s v="Cria da Fazenda"/>
    <x v="0"/>
    <m/>
    <m/>
    <m/>
    <m/>
  </r>
  <r>
    <s v="244"/>
    <n v="371"/>
    <m/>
    <s v="M"/>
    <d v="2013-05-26T00:00:00"/>
    <m/>
    <n v="896"/>
    <s v="Cria da Fazenda"/>
    <x v="0"/>
    <m/>
    <m/>
    <m/>
    <m/>
  </r>
  <r>
    <s v="245"/>
    <n v="373"/>
    <m/>
    <s v="F"/>
    <d v="2013-05-28T00:00:00"/>
    <m/>
    <n v="973"/>
    <s v="Cria da Fazenda"/>
    <x v="0"/>
    <m/>
    <m/>
    <m/>
    <m/>
  </r>
  <r>
    <s v="246"/>
    <n v="374"/>
    <m/>
    <s v="F"/>
    <d v="2013-06-03T00:00:00"/>
    <m/>
    <n v="871"/>
    <s v="Cria da Fazenda"/>
    <x v="0"/>
    <m/>
    <m/>
    <m/>
    <m/>
  </r>
  <r>
    <s v="247"/>
    <n v="375"/>
    <m/>
    <s v="F"/>
    <d v="2013-06-03T00:00:00"/>
    <m/>
    <n v="890"/>
    <s v="Cria da Fazenda"/>
    <x v="1"/>
    <s v="morreu md cobra"/>
    <s v="xxxxx"/>
    <s v="xxxxx"/>
    <s v="xxxxx"/>
  </r>
  <r>
    <s v="248"/>
    <n v="378"/>
    <m/>
    <s v="M"/>
    <d v="2013-06-19T00:00:00"/>
    <m/>
    <n v="898"/>
    <s v="Cria da Fazenda"/>
    <x v="0"/>
    <m/>
    <m/>
    <m/>
    <m/>
  </r>
  <r>
    <s v="249"/>
    <n v="379"/>
    <m/>
    <s v="F"/>
    <d v="2013-06-26T00:00:00"/>
    <m/>
    <n v="882"/>
    <s v="Cria da Fazenda"/>
    <x v="0"/>
    <m/>
    <m/>
    <m/>
    <m/>
  </r>
  <r>
    <s v="250"/>
    <n v="380"/>
    <m/>
    <s v="F"/>
    <d v="2013-06-28T00:00:00"/>
    <m/>
    <n v="930"/>
    <s v="Cria da Fazenda"/>
    <x v="0"/>
    <m/>
    <m/>
    <m/>
    <m/>
  </r>
  <r>
    <s v="251"/>
    <n v="381"/>
    <m/>
    <s v="F"/>
    <d v="2013-07-03T00:00:00"/>
    <m/>
    <n v="893"/>
    <s v="Cria da Fazenda"/>
    <x v="1"/>
    <s v="morreu md.cobra"/>
    <s v="xxxxx"/>
    <s v="xxxxx"/>
    <s v="xxxxx"/>
  </r>
  <r>
    <s v="252"/>
    <n v="382"/>
    <m/>
    <s v="F"/>
    <d v="2013-07-06T00:00:00"/>
    <m/>
    <n v="884"/>
    <s v="Cria da Fazenda"/>
    <x v="0"/>
    <m/>
    <m/>
    <m/>
    <m/>
  </r>
  <r>
    <s v="253"/>
    <n v="384"/>
    <m/>
    <s v="F"/>
    <d v="2013-07-30T00:00:00"/>
    <m/>
    <n v="931"/>
    <s v="Cria da Fazenda"/>
    <x v="0"/>
    <m/>
    <m/>
    <m/>
    <m/>
  </r>
  <r>
    <s v="254"/>
    <n v="385"/>
    <m/>
    <s v="F"/>
    <d v="2013-07-30T00:00:00"/>
    <m/>
    <n v="894"/>
    <s v="Cria da Fazenda"/>
    <x v="0"/>
    <m/>
    <m/>
    <m/>
    <m/>
  </r>
  <r>
    <s v="255"/>
    <n v="386"/>
    <m/>
    <s v="M"/>
    <d v="2013-08-13T00:00:00"/>
    <m/>
    <n v="867"/>
    <s v="Cria da Fazenda"/>
    <x v="0"/>
    <m/>
    <m/>
    <m/>
    <m/>
  </r>
  <r>
    <s v="256"/>
    <n v="387"/>
    <m/>
    <s v="F"/>
    <d v="2013-08-13T00:00:00"/>
    <m/>
    <n v="928"/>
    <s v="Cria da Fazenda"/>
    <x v="0"/>
    <m/>
    <m/>
    <m/>
    <m/>
  </r>
  <r>
    <s v="257"/>
    <n v="388"/>
    <m/>
    <s v="F"/>
    <d v="2013-08-16T00:00:00"/>
    <m/>
    <n v="875"/>
    <s v="Cria da Fazenda"/>
    <x v="0"/>
    <m/>
    <m/>
    <m/>
    <m/>
  </r>
  <r>
    <s v="258"/>
    <n v="390"/>
    <m/>
    <s v="F"/>
    <d v="2013-08-22T00:00:00"/>
    <m/>
    <n v="858"/>
    <s v="Cria da Fazenda"/>
    <x v="0"/>
    <m/>
    <m/>
    <m/>
    <m/>
  </r>
  <r>
    <s v="259"/>
    <n v="392"/>
    <m/>
    <s v="F"/>
    <d v="2013-08-23T00:00:00"/>
    <m/>
    <n v="974"/>
    <s v="Cria da Fazenda"/>
    <x v="0"/>
    <m/>
    <m/>
    <m/>
    <m/>
  </r>
  <r>
    <s v="260"/>
    <n v="394"/>
    <m/>
    <s v="M"/>
    <d v="2013-08-27T00:00:00"/>
    <m/>
    <n v="885"/>
    <s v="Cria da Fazenda"/>
    <x v="0"/>
    <m/>
    <m/>
    <m/>
    <m/>
  </r>
  <r>
    <s v="261"/>
    <n v="395"/>
    <m/>
    <s v="F"/>
    <d v="2013-09-01T00:00:00"/>
    <m/>
    <n v="876"/>
    <s v="Cria da Fazenda"/>
    <x v="0"/>
    <m/>
    <m/>
    <m/>
    <m/>
  </r>
  <r>
    <s v="262"/>
    <n v="400"/>
    <m/>
    <s v="F"/>
    <d v="2013-09-23T00:00:00"/>
    <m/>
    <n v="950"/>
    <s v="Cria da Fazenda"/>
    <x v="0"/>
    <m/>
    <m/>
    <m/>
    <m/>
  </r>
  <r>
    <s v="263"/>
    <n v="401"/>
    <m/>
    <s v="F"/>
    <d v="2013-09-22T00:00:00"/>
    <m/>
    <n v="964"/>
    <s v="Cria da Fazenda"/>
    <x v="0"/>
    <m/>
    <m/>
    <m/>
    <m/>
  </r>
  <r>
    <s v="264"/>
    <n v="402"/>
    <m/>
    <s v="F"/>
    <d v="2013-10-01T00:00:00"/>
    <m/>
    <n v="854"/>
    <s v="Cria da Fazenda"/>
    <x v="0"/>
    <m/>
    <m/>
    <m/>
    <m/>
  </r>
  <r>
    <s v="265"/>
    <n v="403"/>
    <m/>
    <s v="F"/>
    <d v="2013-10-13T00:00:00"/>
    <m/>
    <n v="863"/>
    <s v="Cria da Fazenda"/>
    <x v="0"/>
    <m/>
    <m/>
    <m/>
    <m/>
  </r>
  <r>
    <s v="266"/>
    <n v="404"/>
    <m/>
    <s v="F"/>
    <d v="2013-10-18T00:00:00"/>
    <m/>
    <n v="862"/>
    <s v="Cria da Fazenda"/>
    <x v="0"/>
    <m/>
    <m/>
    <m/>
    <m/>
  </r>
  <r>
    <s v="267"/>
    <n v="406"/>
    <m/>
    <s v="F"/>
    <d v="2013-10-24T00:00:00"/>
    <m/>
    <n v="957"/>
    <s v="Cria da Fazenda"/>
    <x v="0"/>
    <m/>
    <m/>
    <m/>
    <m/>
  </r>
  <r>
    <s v="268"/>
    <n v="407"/>
    <m/>
    <s v="M"/>
    <d v="2013-10-25T00:00:00"/>
    <m/>
    <n v="933"/>
    <s v="Cria da Fazenda"/>
    <x v="0"/>
    <m/>
    <m/>
    <m/>
    <m/>
  </r>
  <r>
    <s v="269"/>
    <n v="408"/>
    <m/>
    <s v="M"/>
    <d v="2013-10-25T00:00:00"/>
    <m/>
    <n v="949"/>
    <s v="Cria da Fazenda"/>
    <x v="0"/>
    <m/>
    <m/>
    <m/>
    <m/>
  </r>
  <r>
    <s v="270"/>
    <n v="409"/>
    <m/>
    <s v="F"/>
    <d v="2013-10-27T00:00:00"/>
    <m/>
    <n v="946"/>
    <s v="Cria da Fazenda"/>
    <x v="0"/>
    <m/>
    <m/>
    <m/>
    <m/>
  </r>
  <r>
    <s v="271"/>
    <n v="410"/>
    <m/>
    <s v="F"/>
    <d v="2013-10-28T00:00:00"/>
    <m/>
    <n v="872"/>
    <s v="Cria da Fazenda"/>
    <x v="0"/>
    <m/>
    <m/>
    <m/>
    <m/>
  </r>
  <r>
    <s v="272"/>
    <n v="411"/>
    <m/>
    <s v="F"/>
    <d v="2013-10-28T00:00:00"/>
    <m/>
    <n v="954"/>
    <s v="Cria da Fazenda"/>
    <x v="0"/>
    <m/>
    <m/>
    <m/>
    <m/>
  </r>
  <r>
    <s v="273"/>
    <n v="412"/>
    <m/>
    <s v="M"/>
    <d v="2013-11-05T00:00:00"/>
    <m/>
    <n v="961"/>
    <s v="Cria da Fazenda"/>
    <x v="0"/>
    <m/>
    <m/>
    <m/>
    <m/>
  </r>
  <r>
    <s v="274"/>
    <n v="413"/>
    <m/>
    <s v="F"/>
    <d v="2013-11-11T00:00:00"/>
    <m/>
    <n v="859"/>
    <s v="Cria da Fazenda"/>
    <x v="0"/>
    <m/>
    <m/>
    <m/>
    <m/>
  </r>
  <r>
    <s v="275"/>
    <n v="415"/>
    <m/>
    <s v="F"/>
    <d v="2013-11-14T00:00:00"/>
    <m/>
    <n v="945"/>
    <s v="Cria da Fazenda"/>
    <x v="0"/>
    <m/>
    <m/>
    <m/>
    <m/>
  </r>
  <r>
    <s v="276"/>
    <n v="417"/>
    <m/>
    <s v="F"/>
    <d v="2013-10-25T00:00:00"/>
    <m/>
    <n v="969"/>
    <s v="Cria da Fazenda"/>
    <x v="0"/>
    <m/>
    <m/>
    <m/>
    <m/>
  </r>
  <r>
    <s v="277"/>
    <n v="418"/>
    <m/>
    <s v="F"/>
    <d v="2013-11-29T00:00:00"/>
    <m/>
    <n v="881"/>
    <s v="Cria da Fazenda"/>
    <x v="0"/>
    <m/>
    <m/>
    <m/>
    <m/>
  </r>
  <r>
    <s v="278"/>
    <n v="420"/>
    <m/>
    <s v="M"/>
    <d v="2013-11-29T00:00:00"/>
    <m/>
    <n v="869"/>
    <s v="Cria da Fazenda"/>
    <x v="0"/>
    <m/>
    <m/>
    <m/>
    <m/>
  </r>
  <r>
    <s v="279"/>
    <n v="421"/>
    <m/>
    <s v="M"/>
    <d v="2013-12-11T00:00:00"/>
    <m/>
    <n v="958"/>
    <s v="Cria da Fazenda"/>
    <x v="0"/>
    <m/>
    <m/>
    <m/>
    <m/>
  </r>
  <r>
    <s v="280"/>
    <s v="S/R"/>
    <m/>
    <s v="F"/>
    <d v="2013-07-12T00:00:00"/>
    <m/>
    <n v="870"/>
    <s v="Cria da Fazenda"/>
    <x v="0"/>
    <m/>
    <m/>
    <m/>
    <m/>
  </r>
  <r>
    <s v="281"/>
    <s v="S/R"/>
    <m/>
    <s v="F"/>
    <d v="2013-09-18T00:00:00"/>
    <m/>
    <n v="865"/>
    <s v="Cria da Fazenda"/>
    <x v="0"/>
    <m/>
    <m/>
    <m/>
    <m/>
  </r>
  <r>
    <s v="282"/>
    <n v="422"/>
    <s v="nel.branca"/>
    <s v="F"/>
    <d v="2014-01-20T00:00:00"/>
    <s v="Mocho"/>
    <n v="936"/>
    <s v="Cria da Fazenda"/>
    <x v="1"/>
    <s v="morreu md.cobra"/>
    <d v="2015-01-24T00:00:00"/>
    <s v="xxxxx"/>
    <s v="xxxxx"/>
  </r>
  <r>
    <s v="283"/>
    <n v="424"/>
    <s v="nel.branca"/>
    <s v="F"/>
    <d v="2014-07-07T00:00:00"/>
    <n v="1043"/>
    <n v="939"/>
    <s v="Cria da Fazenda"/>
    <x v="5"/>
    <m/>
    <d v="2017-03-05T00:00:00"/>
    <n v="5.48"/>
    <n v="904"/>
  </r>
  <r>
    <s v="284"/>
    <n v="425"/>
    <s v="nel.branca"/>
    <s v="F"/>
    <d v="2014-07-09T00:00:00"/>
    <n v="1055"/>
    <n v="956"/>
    <s v="Cria da Fazenda"/>
    <x v="5"/>
    <m/>
    <d v="2017-03-05T00:00:00"/>
    <n v="5.48"/>
    <n v="904"/>
  </r>
  <r>
    <s v="285"/>
    <n v="426"/>
    <s v="nel.castanha"/>
    <s v="M"/>
    <d v="2014-07-08T00:00:00"/>
    <n v="1043"/>
    <n v="947"/>
    <s v="Cria da Fazenda"/>
    <x v="5"/>
    <m/>
    <d v="2017-03-05T00:00:00"/>
    <n v="5.48"/>
    <n v="904"/>
  </r>
  <r>
    <s v="286"/>
    <n v="427"/>
    <s v="nel.branca"/>
    <s v="M"/>
    <d v="2014-07-13T00:00:00"/>
    <n v="1055"/>
    <n v="877"/>
    <s v="Cria da Fazenda"/>
    <x v="5"/>
    <m/>
    <d v="2017-03-05T00:00:00"/>
    <n v="5.48"/>
    <n v="904"/>
  </r>
  <r>
    <s v="287"/>
    <n v="429"/>
    <s v="nel.branca"/>
    <s v="M"/>
    <d v="2014-07-18T00:00:00"/>
    <n v="1055"/>
    <n v="951"/>
    <s v="Cria da Fazenda"/>
    <x v="5"/>
    <m/>
    <d v="2017-03-05T00:00:00"/>
    <n v="5.48"/>
    <n v="904"/>
  </r>
  <r>
    <s v="288"/>
    <n v="430"/>
    <s v="nel.castanha"/>
    <s v="F"/>
    <d v="2014-07-19T00:00:00"/>
    <n v="1055"/>
    <n v="959"/>
    <s v="Cria da Fazenda"/>
    <x v="5"/>
    <m/>
    <d v="2017-03-05T00:00:00"/>
    <n v="5.48"/>
    <n v="904"/>
  </r>
  <r>
    <s v="289"/>
    <n v="431"/>
    <s v="nel.branca"/>
    <s v="M"/>
    <d v="2014-07-20T00:00:00"/>
    <n v="1055"/>
    <n v="860"/>
    <s v="Cria da Fazenda"/>
    <x v="5"/>
    <m/>
    <d v="2017-03-05T00:00:00"/>
    <n v="5.48"/>
    <n v="904"/>
  </r>
  <r>
    <s v="290"/>
    <n v="433"/>
    <s v="nel.castanha"/>
    <s v="M"/>
    <d v="2014-07-20T00:00:00"/>
    <n v="1043"/>
    <n v="873"/>
    <s v="Cria da Fazenda"/>
    <x v="5"/>
    <m/>
    <d v="2017-03-05T00:00:00"/>
    <n v="5.48"/>
    <n v="904"/>
  </r>
  <r>
    <s v="291"/>
    <n v="434"/>
    <s v="nel.branca"/>
    <s v="M"/>
    <d v="2014-07-20T00:00:00"/>
    <n v="1055"/>
    <n v="897"/>
    <s v="Cria da Fazenda"/>
    <x v="5"/>
    <m/>
    <d v="2017-03-05T00:00:00"/>
    <n v="5.48"/>
    <n v="904"/>
  </r>
  <r>
    <s v="292"/>
    <n v="435"/>
    <s v="nel.branca"/>
    <s v="F"/>
    <d v="2014-07-20T00:00:00"/>
    <n v="1043"/>
    <n v="890"/>
    <s v="Cria da Fazenda"/>
    <x v="5"/>
    <m/>
    <d v="2017-03-05T00:00:00"/>
    <n v="5.48"/>
    <n v="904"/>
  </r>
  <r>
    <s v="293"/>
    <n v="437"/>
    <s v="nel.castanha"/>
    <s v="M"/>
    <d v="2014-07-24T00:00:00"/>
    <n v="1043"/>
    <n v="966"/>
    <s v="Cria da Fazenda"/>
    <x v="5"/>
    <m/>
    <d v="2017-03-05T00:00:00"/>
    <n v="5.48"/>
    <n v="904"/>
  </r>
  <r>
    <s v="294"/>
    <n v="438"/>
    <s v="nel.branca"/>
    <s v="M"/>
    <d v="2014-07-24T00:00:00"/>
    <n v="1055"/>
    <n v="967"/>
    <s v="Cria da Fazenda"/>
    <x v="5"/>
    <m/>
    <d v="2017-03-05T00:00:00"/>
    <n v="5.48"/>
    <n v="904"/>
  </r>
  <r>
    <s v="295"/>
    <n v="439"/>
    <s v="nel.castanha"/>
    <s v="M"/>
    <d v="2014-07-25T00:00:00"/>
    <n v="1055"/>
    <n v="934"/>
    <s v="Cria da Fazenda"/>
    <x v="5"/>
    <m/>
    <d v="2017-03-05T00:00:00"/>
    <n v="5.48"/>
    <n v="904"/>
  </r>
  <r>
    <s v="296"/>
    <n v="440"/>
    <s v="nel.branca"/>
    <s v="M"/>
    <d v="2014-07-30T00:00:00"/>
    <n v="1043"/>
    <n v="899"/>
    <s v="Cria da Fazenda"/>
    <x v="5"/>
    <m/>
    <d v="2015-03-05T00:00:00"/>
    <n v="5.48"/>
    <n v="904"/>
  </r>
  <r>
    <s v="297"/>
    <n v="441"/>
    <s v="nel.branca"/>
    <s v="M"/>
    <d v="2014-07-31T00:00:00"/>
    <n v="1055"/>
    <n v="943"/>
    <s v="Cria da Fazenda"/>
    <x v="5"/>
    <m/>
    <d v="2015-03-05T00:00:00"/>
    <n v="5.48"/>
    <n v="904"/>
  </r>
  <r>
    <s v="298"/>
    <n v="442"/>
    <s v="nel.branca"/>
    <s v="M"/>
    <d v="2014-07-30T00:00:00"/>
    <n v="1055"/>
    <n v="926"/>
    <s v="Cria da Fazenda"/>
    <x v="5"/>
    <m/>
    <d v="2015-03-05T00:00:00"/>
    <n v="5.48"/>
    <n v="904"/>
  </r>
  <r>
    <s v="299"/>
    <n v="443"/>
    <s v="nel.branca"/>
    <s v="M"/>
    <d v="2014-08-02T00:00:00"/>
    <n v="1055"/>
    <n v="874"/>
    <s v="Cria da Fazenda"/>
    <x v="5"/>
    <m/>
    <d v="2015-03-05T00:00:00"/>
    <n v="5.48"/>
    <n v="904"/>
  </r>
  <r>
    <s v="300"/>
    <n v="444"/>
    <s v="nel.castanha"/>
    <s v="M"/>
    <d v="2014-08-04T00:00:00"/>
    <n v="1055"/>
    <n v="900"/>
    <s v="Cria da Fazenda"/>
    <x v="5"/>
    <m/>
    <d v="2015-03-05T00:00:00"/>
    <n v="5.48"/>
    <n v="904"/>
  </r>
  <r>
    <s v="301"/>
    <n v="445"/>
    <s v="nel.branca"/>
    <s v="F"/>
    <d v="2014-08-04T00:00:00"/>
    <n v="1055"/>
    <n v="965"/>
    <s v="Cria da Fazenda"/>
    <x v="5"/>
    <m/>
    <d v="2015-03-05T00:00:00"/>
    <n v="5.48"/>
    <n v="904"/>
  </r>
  <r>
    <s v="302"/>
    <n v="446"/>
    <s v="nel.branca"/>
    <s v="M"/>
    <d v="2014-09-06T00:00:00"/>
    <n v="1055"/>
    <n v="929"/>
    <s v="Cria da Fazenda"/>
    <x v="5"/>
    <m/>
    <d v="2015-03-05T00:00:00"/>
    <n v="5.48"/>
    <n v="904"/>
  </r>
  <r>
    <s v="303"/>
    <n v="447"/>
    <s v="nel.branca"/>
    <s v="F"/>
    <d v="2014-08-06T00:00:00"/>
    <n v="1055"/>
    <n v="944"/>
    <s v="Cria da Fazenda"/>
    <x v="5"/>
    <m/>
    <d v="2015-03-05T00:00:00"/>
    <n v="5.48"/>
    <n v="904"/>
  </r>
  <r>
    <s v="304"/>
    <n v="449"/>
    <s v="nel.branca"/>
    <s v="F"/>
    <d v="2014-08-08T00:00:00"/>
    <n v="1055"/>
    <n v="950"/>
    <s v="Cria da Fazenda"/>
    <x v="5"/>
    <m/>
    <d v="2015-03-05T00:00:00"/>
    <n v="5.48"/>
    <n v="904"/>
  </r>
  <r>
    <s v="305"/>
    <n v="450"/>
    <s v="nel.branca"/>
    <s v="M"/>
    <d v="2014-08-16T00:00:00"/>
    <n v="1055"/>
    <n v="870"/>
    <s v="Cria da Fazenda"/>
    <x v="5"/>
    <m/>
    <d v="2015-03-05T00:00:00"/>
    <n v="5.48"/>
    <n v="904"/>
  </r>
  <r>
    <s v="306"/>
    <n v="451"/>
    <s v="nel.branca"/>
    <s v="F"/>
    <d v="2014-08-16T00:00:00"/>
    <n v="1043"/>
    <n v="968"/>
    <s v="Cria da Fazenda"/>
    <x v="5"/>
    <m/>
    <d v="2015-03-05T00:00:00"/>
    <n v="5.48"/>
    <n v="904"/>
  </r>
  <r>
    <s v="307"/>
    <n v="452"/>
    <s v="nel.castanha"/>
    <s v="F"/>
    <d v="2014-08-30T00:00:00"/>
    <n v="1043"/>
    <n v="973"/>
    <s v="Cria da Fazenda"/>
    <x v="5"/>
    <m/>
    <d v="2015-03-05T00:00:00"/>
    <n v="5.48"/>
    <n v="904"/>
  </r>
  <r>
    <s v="308"/>
    <n v="453"/>
    <s v="nel.branca"/>
    <s v="F"/>
    <d v="2014-09-13T00:00:00"/>
    <n v="1055"/>
    <n v="942"/>
    <s v="Cria da Fazenda"/>
    <x v="5"/>
    <m/>
    <d v="2015-03-05T00:00:00"/>
    <n v="5.48"/>
    <n v="904"/>
  </r>
  <r>
    <s v="309"/>
    <n v="454"/>
    <s v="nel.castanha"/>
    <s v="M"/>
    <d v="2014-09-09T00:00:00"/>
    <n v="1043"/>
    <n v="882"/>
    <s v="Cria da Fazenda"/>
    <x v="5"/>
    <m/>
    <d v="2015-03-05T00:00:00"/>
    <n v="5.48"/>
    <n v="904"/>
  </r>
  <r>
    <s v="310"/>
    <n v="455"/>
    <s v="nel.castanha"/>
    <s v="M"/>
    <d v="2014-09-10T00:00:00"/>
    <n v="1043"/>
    <n v="886"/>
    <s v="Cria da Fazenda"/>
    <x v="1"/>
    <s v="morreu mrd.cobra"/>
    <d v="2014-09-14T00:00:00"/>
    <s v="xxxxx"/>
    <s v="xxxxx"/>
  </r>
  <r>
    <s v="311"/>
    <n v="456"/>
    <s v="nel.castanha"/>
    <s v="M"/>
    <d v="2014-12-12T00:00:00"/>
    <n v="1043"/>
    <n v="880"/>
    <s v="Cria da Fazenda"/>
    <x v="5"/>
    <m/>
    <d v="2015-03-05T00:00:00"/>
    <n v="5.48"/>
    <n v="904"/>
  </r>
  <r>
    <s v="312"/>
    <n v="457"/>
    <s v="nel.castanha"/>
    <s v="M"/>
    <d v="2014-09-26T00:00:00"/>
    <n v="1043"/>
    <n v="865"/>
    <s v="Cria da Fazenda"/>
    <x v="5"/>
    <m/>
    <d v="2015-03-05T00:00:00"/>
    <n v="5.48"/>
    <n v="904"/>
  </r>
  <r>
    <s v="313"/>
    <n v="460"/>
    <s v="nel.castanha"/>
    <s v="F"/>
    <d v="2014-10-22T00:00:00"/>
    <n v="1043"/>
    <n v="945"/>
    <s v="Cria da Fazenda"/>
    <x v="3"/>
    <m/>
    <d v="2015-11-17T00:00:00"/>
    <n v="5.32"/>
    <n v="984"/>
  </r>
  <r>
    <s v="314"/>
    <n v="461"/>
    <s v="nel.branca"/>
    <s v="F"/>
    <d v="2014-10-24T00:00:00"/>
    <n v="1055"/>
    <n v="867"/>
    <s v="Cria da Fazenda"/>
    <x v="3"/>
    <m/>
    <d v="2015-11-17T00:00:00"/>
    <n v="5.32"/>
    <n v="984"/>
  </r>
  <r>
    <s v="315"/>
    <n v="462"/>
    <s v="nel.branca"/>
    <s v="M"/>
    <d v="2014-11-01T00:00:00"/>
    <n v="1055"/>
    <n v="871"/>
    <s v="Cria da Fazenda"/>
    <x v="3"/>
    <m/>
    <d v="2015-11-17T00:00:00"/>
    <n v="5.32"/>
    <n v="984"/>
  </r>
  <r>
    <s v="316"/>
    <n v="463"/>
    <s v="nel.branca"/>
    <s v="F"/>
    <d v="2014-11-02T00:00:00"/>
    <n v="1043"/>
    <n v="898"/>
    <s v="Cria da Fazenda"/>
    <x v="3"/>
    <m/>
    <d v="2015-11-17T00:00:00"/>
    <n v="5.32"/>
    <n v="984"/>
  </r>
  <r>
    <s v="317"/>
    <n v="464"/>
    <s v="nel.castanha"/>
    <s v="M"/>
    <d v="2014-11-19T00:00:00"/>
    <n v="1043"/>
    <n v="954"/>
    <s v="Cria da Fazenda"/>
    <x v="3"/>
    <m/>
    <d v="2015-11-17T00:00:00"/>
    <n v="5.32"/>
    <n v="984"/>
  </r>
  <r>
    <s v="318"/>
    <n v="466"/>
    <s v="nel.castanha"/>
    <s v="F"/>
    <d v="2014-11-22T00:00:00"/>
    <s v="SR/DIMAS"/>
    <n v="985"/>
    <s v="Cria da Fazenda"/>
    <x v="3"/>
    <m/>
    <d v="2015-11-17T00:00:00"/>
    <n v="5.32"/>
    <n v="984"/>
  </r>
  <r>
    <s v="319"/>
    <n v="467"/>
    <s v="nel.castanha"/>
    <s v="F"/>
    <d v="2014-12-04T00:00:00"/>
    <n v="1055"/>
    <n v="889"/>
    <s v="Cria da Fazenda"/>
    <x v="3"/>
    <m/>
    <d v="2015-11-17T00:00:00"/>
    <n v="5.32"/>
    <n v="984"/>
  </r>
  <r>
    <s v="320"/>
    <n v="468"/>
    <s v="nel.branca"/>
    <s v="M"/>
    <d v="2014-12-16T00:00:00"/>
    <n v="1055"/>
    <n v="936"/>
    <s v="Cria da Fazenda"/>
    <x v="3"/>
    <m/>
    <d v="2015-11-17T00:00:00"/>
    <n v="5.32"/>
    <n v="984"/>
  </r>
  <r>
    <s v="321"/>
    <n v="469"/>
    <s v="nel.castanha"/>
    <s v="F"/>
    <d v="2014-12-21T00:00:00"/>
    <n v="1055"/>
    <n v="858"/>
    <s v="Cria da Fazenda"/>
    <x v="3"/>
    <m/>
    <d v="2015-11-17T00:00:00"/>
    <n v="5.32"/>
    <n v="984"/>
  </r>
  <r>
    <s v="322"/>
    <n v="470"/>
    <s v="nel.branca"/>
    <s v="M"/>
    <d v="2014-10-25T00:00:00"/>
    <n v="1055"/>
    <n v="884"/>
    <s v="Cria da Fazenda"/>
    <x v="3"/>
    <m/>
    <d v="2015-11-17T00:00:00"/>
    <n v="5.32"/>
    <n v="984"/>
  </r>
  <r>
    <s v="323"/>
    <n v="471"/>
    <s v="nel.branca"/>
    <s v="M"/>
    <d v="2014-12-27T00:00:00"/>
    <n v="1055"/>
    <n v="896"/>
    <s v="Cria da Fazenda"/>
    <x v="3"/>
    <m/>
    <d v="2015-11-17T00:00:00"/>
    <n v="5.32"/>
    <n v="984"/>
  </r>
  <r>
    <s v="324"/>
    <n v="472"/>
    <s v="nel.branca"/>
    <s v="F"/>
    <d v="2014-12-27T00:00:00"/>
    <n v="1055"/>
    <n v="972"/>
    <s v="Cria da Fazenda"/>
    <x v="3"/>
    <m/>
    <d v="2015-11-17T00:00:00"/>
    <n v="5.32"/>
    <n v="984"/>
  </r>
  <r>
    <s v="325"/>
    <n v="473"/>
    <s v="nel.castanha"/>
    <s v="F"/>
    <d v="2014-12-24T00:00:00"/>
    <s v="SR/DIMAS"/>
    <n v="984"/>
    <s v="Cria da Fazenda"/>
    <x v="3"/>
    <m/>
    <d v="2015-11-17T00:00:00"/>
    <n v="5.32"/>
    <n v="984"/>
  </r>
  <r>
    <s v="326"/>
    <n v="475"/>
    <s v="nel.castanha"/>
    <s v="F"/>
    <d v="2015-01-02T00:00:00"/>
    <n v="1055"/>
    <n v="885"/>
    <s v="Cria da Fazenda"/>
    <x v="3"/>
    <m/>
    <d v="2015-11-17T00:00:00"/>
    <n v="5.32"/>
    <n v="984"/>
  </r>
  <r>
    <s v="327"/>
    <n v="476"/>
    <s v="nel.branca"/>
    <s v="M"/>
    <d v="2015-01-03T00:00:00"/>
    <n v="1055"/>
    <n v="894"/>
    <s v="Cria da Fazenda"/>
    <x v="3"/>
    <m/>
    <d v="2015-11-17T00:00:00"/>
    <n v="5.32"/>
    <n v="984"/>
  </r>
  <r>
    <s v="328"/>
    <n v="477"/>
    <s v="nel.branca"/>
    <s v="F"/>
    <d v="2015-01-12T00:00:00"/>
    <n v="1055"/>
    <n v="974"/>
    <s v="Cria da Fazenda"/>
    <x v="3"/>
    <m/>
    <d v="2015-11-17T00:00:00"/>
    <n v="5.32"/>
    <n v="984"/>
  </r>
  <r>
    <s v="329"/>
    <n v="479"/>
    <s v="nel.branca"/>
    <s v="M"/>
    <d v="2015-01-17T00:00:00"/>
    <s v="SR/DIMAS"/>
    <n v="988"/>
    <s v="Cria da Fazenda"/>
    <x v="3"/>
    <m/>
    <d v="2015-11-17T00:00:00"/>
    <n v="5.32"/>
    <n v="984"/>
  </r>
  <r>
    <s v="330"/>
    <n v="480"/>
    <s v="nel.branca"/>
    <s v="M"/>
    <d v="2015-01-20T00:00:00"/>
    <s v="SR/DIMAS"/>
    <n v="986"/>
    <s v="Cria da Fazenda"/>
    <x v="3"/>
    <m/>
    <d v="2015-11-17T00:00:00"/>
    <n v="5.32"/>
    <n v="984"/>
  </r>
  <r>
    <s v="331"/>
    <n v="481"/>
    <s v="nel.branca"/>
    <s v="F"/>
    <d v="2015-01-20T00:00:00"/>
    <n v="1043"/>
    <n v="957"/>
    <s v="Cria da Fazenda"/>
    <x v="3"/>
    <m/>
    <d v="2015-11-17T00:00:00"/>
    <n v="5.32"/>
    <n v="984"/>
  </r>
  <r>
    <s v="332"/>
    <n v="482"/>
    <s v="nel.branca"/>
    <s v="M"/>
    <d v="2015-01-25T00:00:00"/>
    <s v="SR/DIMAS"/>
    <n v="977"/>
    <s v="Cria da Fazenda"/>
    <x v="3"/>
    <m/>
    <d v="2015-11-17T00:00:00"/>
    <n v="5.32"/>
    <n v="984"/>
  </r>
  <r>
    <s v="333"/>
    <n v="483"/>
    <s v="nel.branca"/>
    <s v="M"/>
    <d v="2015-02-03T00:00:00"/>
    <n v="1043"/>
    <n v="931"/>
    <s v="Cria da Fazenda"/>
    <x v="3"/>
    <m/>
    <d v="2015-11-17T00:00:00"/>
    <n v="5.32"/>
    <n v="984"/>
  </r>
  <r>
    <s v="334"/>
    <n v="484"/>
    <s v="nel.castanha"/>
    <s v="M"/>
    <d v="2015-02-12T00:00:00"/>
    <s v="SR/DIMAS"/>
    <n v="980"/>
    <s v="Cria da Fazenda"/>
    <x v="3"/>
    <m/>
    <d v="2015-11-17T00:00:00"/>
    <n v="5.32"/>
    <n v="984"/>
  </r>
  <r>
    <s v="335"/>
    <n v="485"/>
    <s v="nel.castanha"/>
    <s v="F"/>
    <d v="2015-02-13T00:00:00"/>
    <n v="1055"/>
    <n v="930"/>
    <s v="Cria da Fazenda"/>
    <x v="3"/>
    <m/>
    <d v="2015-11-17T00:00:00"/>
    <n v="5.32"/>
    <n v="984"/>
  </r>
  <r>
    <s v="336"/>
    <n v="488"/>
    <s v="nel.castanha"/>
    <s v="M"/>
    <d v="2015-02-27T00:00:00"/>
    <n v="1043"/>
    <n v="964"/>
    <s v="Cria da Fazenda"/>
    <x v="3"/>
    <m/>
    <d v="2015-11-17T00:00:00"/>
    <n v="5.32"/>
    <n v="984"/>
  </r>
  <r>
    <s v="337"/>
    <n v="489"/>
    <s v="nel.branca"/>
    <s v="F"/>
    <d v="2015-02-28T00:00:00"/>
    <n v="1043"/>
    <n v="872"/>
    <s v="Cria da Fazenda"/>
    <x v="3"/>
    <m/>
    <d v="2015-11-17T00:00:00"/>
    <n v="5.32"/>
    <n v="984"/>
  </r>
  <r>
    <s v="338"/>
    <n v="490"/>
    <s v="nel.branca"/>
    <s v="F"/>
    <d v="2015-03-03T00:00:00"/>
    <n v="1043"/>
    <n v="893"/>
    <s v="Cria da Fazenda"/>
    <x v="1"/>
    <s v="Quebrou pata"/>
    <s v="doada"/>
    <n v="42067"/>
    <s v="xxxxx"/>
  </r>
  <r>
    <s v="339"/>
    <n v="491"/>
    <s v="nel.castanha"/>
    <s v="M"/>
    <d v="2015-03-03T00:00:00"/>
    <n v="1043"/>
    <n v="881"/>
    <s v="Cria da Fazenda"/>
    <x v="3"/>
    <m/>
    <d v="2015-11-17T00:00:00"/>
    <n v="5.32"/>
    <n v="984"/>
  </r>
  <r>
    <s v="340"/>
    <n v="492"/>
    <s v="nel.branca"/>
    <s v="F"/>
    <d v="2015-03-15T00:00:00"/>
    <n v="1043"/>
    <n v="969"/>
    <s v="Cria da Fazenda"/>
    <x v="3"/>
    <m/>
    <d v="2015-11-17T00:00:00"/>
    <n v="5.32"/>
    <n v="984"/>
  </r>
  <r>
    <s v="341"/>
    <n v="493"/>
    <s v="nel.branca"/>
    <s v="F"/>
    <d v="2015-03-21T00:00:00"/>
    <n v="1043"/>
    <n v="958"/>
    <s v="Cria da Fazenda"/>
    <x v="3"/>
    <m/>
    <d v="2015-11-17T00:00:00"/>
    <n v="5.32"/>
    <n v="984"/>
  </r>
  <r>
    <s v="342"/>
    <n v="494"/>
    <s v="nel.branca"/>
    <s v="M"/>
    <d v="2015-03-26T00:00:00"/>
    <n v="1043"/>
    <n v="961"/>
    <s v="Cria da Fazenda"/>
    <x v="3"/>
    <m/>
    <d v="2015-11-17T00:00:00"/>
    <n v="5.32"/>
    <n v="984"/>
  </r>
  <r>
    <s v="343"/>
    <n v="495"/>
    <s v="nel.branca"/>
    <s v="F"/>
    <d v="2015-03-26T00:00:00"/>
    <n v="1043"/>
    <n v="949"/>
    <s v="Cria da Fazenda"/>
    <x v="3"/>
    <m/>
    <d v="2015-11-17T00:00:00"/>
    <n v="5.32"/>
    <n v="984"/>
  </r>
  <r>
    <s v="344"/>
    <n v="497"/>
    <s v="nel.branca"/>
    <s v="F"/>
    <d v="2015-03-30T00:00:00"/>
    <n v="1043"/>
    <n v="946"/>
    <s v="Cria da Fazenda"/>
    <x v="3"/>
    <m/>
    <d v="2015-11-17T00:00:00"/>
    <n v="5.32"/>
    <n v="984"/>
  </r>
  <r>
    <s v="345"/>
    <n v="498"/>
    <s v="nel.branca"/>
    <s v="M"/>
    <d v="2015-03-30T00:00:00"/>
    <n v="1043"/>
    <n v="854"/>
    <s v="Cria da Fazenda"/>
    <x v="3"/>
    <m/>
    <d v="2015-11-17T00:00:00"/>
    <n v="5.32"/>
    <n v="984"/>
  </r>
  <r>
    <s v="346"/>
    <n v="499"/>
    <s v="nel.branca"/>
    <s v="M"/>
    <d v="2015-03-30T00:00:00"/>
    <n v="1043"/>
    <n v="875"/>
    <s v="Cria da Fazenda"/>
    <x v="3"/>
    <m/>
    <d v="2015-11-17T00:00:00"/>
    <n v="5.32"/>
    <n v="984"/>
  </r>
  <r>
    <s v="347"/>
    <n v="500"/>
    <s v="nel.branca"/>
    <s v="F"/>
    <d v="2015-04-03T00:00:00"/>
    <n v="1043"/>
    <n v="928"/>
    <s v="Cria da Fazenda"/>
    <x v="3"/>
    <m/>
    <d v="2015-11-17T00:00:00"/>
    <n v="5.32"/>
    <n v="984"/>
  </r>
  <r>
    <s v="348"/>
    <n v="501"/>
    <s v="nel.branca"/>
    <s v="M"/>
    <d v="2015-04-03T00:00:00"/>
    <n v="1043"/>
    <n v="862"/>
    <s v="Cria da Fazenda"/>
    <x v="3"/>
    <m/>
    <d v="2015-11-17T00:00:00"/>
    <n v="5.32"/>
    <n v="984"/>
  </r>
  <r>
    <s v="349"/>
    <n v="502"/>
    <s v="nel.branca"/>
    <s v="F"/>
    <d v="2015-04-09T00:00:00"/>
    <n v="1043"/>
    <n v="863"/>
    <s v="Cria da Fazenda"/>
    <x v="3"/>
    <m/>
    <d v="2015-11-17T00:00:00"/>
    <n v="5.32"/>
    <n v="984"/>
  </r>
  <r>
    <s v="350"/>
    <n v="504"/>
    <s v="nel.branca"/>
    <s v="F"/>
    <d v="2015-04-16T00:00:00"/>
    <n v="1043"/>
    <n v="859"/>
    <s v="Cria da Fazenda"/>
    <x v="3"/>
    <m/>
    <d v="2015-11-17T00:00:00"/>
    <n v="5.32"/>
    <n v="984"/>
  </r>
  <r>
    <s v="351"/>
    <n v="505"/>
    <s v="nel.branca"/>
    <s v="F"/>
    <d v="2015-04-17T00:00:00"/>
    <n v="1043"/>
    <n v="869"/>
    <s v="Cria da Fazenda"/>
    <x v="3"/>
    <m/>
    <d v="2015-11-17T00:00:00"/>
    <n v="5.32"/>
    <n v="984"/>
  </r>
  <r>
    <s v="352"/>
    <n v="506"/>
    <s v="nel.branca"/>
    <s v="M"/>
    <d v="2015-04-17T00:00:00"/>
    <n v="1043"/>
    <n v="933"/>
    <s v="Cria da Fazenda"/>
    <x v="3"/>
    <m/>
    <d v="2015-11-17T00:00:00"/>
    <n v="5.32"/>
    <n v="984"/>
  </r>
  <r>
    <s v="353"/>
    <n v="507"/>
    <s v="nel.branca"/>
    <s v="F"/>
    <d v="2015-06-06T00:00:00"/>
    <n v="1043"/>
    <n v="876"/>
    <s v="Cria da Fazenda"/>
    <x v="1"/>
    <s v="morreu mrd/cobra"/>
    <d v="2015-12-30T00:00:00"/>
    <s v="xxxxx"/>
    <s v="xxxxx"/>
  </r>
  <r>
    <s v="354"/>
    <n v="508"/>
    <s v="nel.branca"/>
    <s v="M"/>
    <d v="2015-06-06T00:00:00"/>
    <n v="1043"/>
    <n v="876"/>
    <s v="Cria da Fazenda"/>
    <x v="3"/>
    <m/>
    <d v="2015-11-17T00:00:00"/>
    <n v="5.32"/>
    <n v="984"/>
  </r>
  <r>
    <s v="355"/>
    <n v="509"/>
    <s v="nel.branca"/>
    <s v="M"/>
    <d v="2015-07-18T00:00:00"/>
    <n v="1055"/>
    <n v="947"/>
    <s v="Cria da Fazenda"/>
    <x v="6"/>
    <m/>
    <d v="2016-08-30T00:00:00"/>
    <n v="5"/>
    <n v="900"/>
  </r>
  <r>
    <s v="356"/>
    <n v="510"/>
    <s v="nel.branca"/>
    <s v="F"/>
    <d v="2015-07-29T00:00:00"/>
    <n v="1055"/>
    <n v="886"/>
    <s v="Cria da Fazenda"/>
    <x v="6"/>
    <m/>
    <d v="2016-08-30T00:00:00"/>
    <n v="5.75"/>
    <n v="978"/>
  </r>
  <r>
    <s v="357"/>
    <n v="511"/>
    <s v="nel.branca"/>
    <s v="F"/>
    <d v="2015-08-01T00:00:00"/>
    <n v="1055"/>
    <n v="873"/>
    <s v="Cria da Fazenda"/>
    <x v="6"/>
    <m/>
    <d v="2016-08-30T00:00:00"/>
    <n v="5.75"/>
    <n v="975"/>
  </r>
  <r>
    <s v="359"/>
    <n v="512"/>
    <s v="nel.branca"/>
    <s v="M"/>
    <d v="2015-08-04T00:00:00"/>
    <n v="1055"/>
    <n v="890"/>
    <s v="Cria da Fazenda"/>
    <x v="6"/>
    <m/>
    <d v="2016-08-30T00:00:00"/>
    <n v="5"/>
    <n v="900"/>
  </r>
  <r>
    <s v="360"/>
    <n v="513"/>
    <s v="nel.castanha"/>
    <s v="M"/>
    <d v="2015-08-06T00:00:00"/>
    <n v="1055"/>
    <n v="956"/>
    <s v="Cria da Fazenda"/>
    <x v="6"/>
    <m/>
    <d v="2016-08-30T00:00:00"/>
    <n v="5"/>
    <n v="900"/>
  </r>
  <r>
    <s v="361"/>
    <n v="515"/>
    <s v="nel.castanha"/>
    <s v="M"/>
    <d v="2015-08-11T00:00:00"/>
    <n v="1055"/>
    <n v="926"/>
    <s v="Cria da Fazenda"/>
    <x v="6"/>
    <m/>
    <d v="2016-08-30T00:00:00"/>
    <n v="5"/>
    <n v="900"/>
  </r>
  <r>
    <s v="362"/>
    <n v="516"/>
    <s v="nel.branca"/>
    <s v="F"/>
    <d v="2015-08-13T00:00:00"/>
    <n v="1055"/>
    <n v="870"/>
    <s v="Cria da Fazenda"/>
    <x v="6"/>
    <m/>
    <d v="2016-08-30T00:00:00"/>
    <n v="5.75"/>
    <n v="978"/>
  </r>
  <r>
    <s v="363"/>
    <n v="517"/>
    <s v="nel.branca"/>
    <s v="M"/>
    <d v="2015-08-15T00:00:00"/>
    <n v="1055"/>
    <n v="877"/>
    <s v="Cria da Fazenda"/>
    <x v="6"/>
    <m/>
    <d v="2016-08-30T00:00:00"/>
    <n v="5"/>
    <n v="900"/>
  </r>
  <r>
    <s v="364"/>
    <n v="518"/>
    <s v="nel.castanha"/>
    <s v="M"/>
    <d v="2015-08-16T00:00:00"/>
    <n v="1055"/>
    <n v="882"/>
    <s v="Cria da Fazenda"/>
    <x v="6"/>
    <m/>
    <d v="2016-08-30T00:00:00"/>
    <n v="5"/>
    <n v="900"/>
  </r>
  <r>
    <s v="365"/>
    <n v="519"/>
    <s v="nel.branca"/>
    <s v="M"/>
    <d v="2015-08-18T00:00:00"/>
    <n v="1055"/>
    <n v="966"/>
    <s v="Cria da Fazenda"/>
    <x v="6"/>
    <m/>
    <d v="2016-08-30T00:00:00"/>
    <n v="5"/>
    <n v="900"/>
  </r>
  <r>
    <s v="366"/>
    <n v="520"/>
    <s v="nel.branca"/>
    <s v="M"/>
    <d v="2015-08-24T00:00:00"/>
    <s v="SR/DIMAS"/>
    <n v="981"/>
    <s v="Cria da Fazenda"/>
    <x v="6"/>
    <m/>
    <d v="2016-08-30T00:00:00"/>
    <n v="5"/>
    <n v="900"/>
  </r>
  <r>
    <s v="367"/>
    <n v="521"/>
    <s v="nel.castanha"/>
    <s v="M"/>
    <d v="2015-08-28T00:00:00"/>
    <n v="1055"/>
    <n v="934"/>
    <s v="Cria da Fazenda"/>
    <x v="6"/>
    <m/>
    <d v="2016-08-30T00:00:00"/>
    <n v="5"/>
    <n v="900"/>
  </r>
  <r>
    <s v="368"/>
    <n v="523"/>
    <s v="nel.branca"/>
    <s v="M"/>
    <d v="2015-09-03T00:00:00"/>
    <n v="1055"/>
    <n v="959"/>
    <s v="Cria da Fazenda"/>
    <x v="6"/>
    <m/>
    <d v="2016-08-30T00:00:00"/>
    <n v="5"/>
    <n v="900"/>
  </r>
  <r>
    <s v="369"/>
    <n v="524"/>
    <s v="nel.branca"/>
    <s v="F"/>
    <d v="2015-09-03T00:00:00"/>
    <n v="1055"/>
    <n v="899"/>
    <s v="Cria da Fazenda"/>
    <x v="6"/>
    <m/>
    <d v="2016-08-30T00:00:00"/>
    <n v="5.75"/>
    <n v="978"/>
  </r>
  <r>
    <s v="370"/>
    <n v="525"/>
    <s v="nel.branca"/>
    <s v="M"/>
    <d v="2015-09-04T00:00:00"/>
    <n v="1055"/>
    <n v="968"/>
    <s v="Cria da Fazenda"/>
    <x v="6"/>
    <m/>
    <d v="2016-08-30T00:00:00"/>
    <n v="5"/>
    <n v="900"/>
  </r>
  <r>
    <s v="371"/>
    <n v="526"/>
    <s v="nel.branca"/>
    <s v="F"/>
    <d v="2015-09-05T00:00:00"/>
    <n v="1055"/>
    <n v="897"/>
    <s v="Cria da Fazenda"/>
    <x v="6"/>
    <m/>
    <d v="2016-08-30T00:00:00"/>
    <n v="5.75"/>
    <n v="978"/>
  </r>
  <r>
    <s v="372"/>
    <n v="528"/>
    <s v="nel.branca"/>
    <s v="M"/>
    <d v="2015-09-09T00:00:00"/>
    <n v="1055"/>
    <n v="973"/>
    <s v="Cria da Fazenda"/>
    <x v="6"/>
    <m/>
    <d v="2016-08-30T00:00:00"/>
    <n v="5"/>
    <n v="900"/>
  </r>
  <r>
    <s v="373"/>
    <n v="529"/>
    <s v="nel.branca"/>
    <s v="M"/>
    <d v="2015-09-24T00:00:00"/>
    <n v="1055"/>
    <n v="945"/>
    <s v="Cria da Fazenda"/>
    <x v="6"/>
    <m/>
    <d v="2016-08-30T00:00:00"/>
    <n v="5"/>
    <n v="900"/>
  </r>
  <r>
    <s v="374"/>
    <n v="530"/>
    <s v="nel.branca"/>
    <s v="M"/>
    <d v="2015-09-25T00:00:00"/>
    <n v="1043"/>
    <n v="944"/>
    <s v="Cria da Fazenda"/>
    <x v="6"/>
    <m/>
    <d v="2016-08-30T00:00:00"/>
    <n v="5"/>
    <n v="900"/>
  </r>
  <r>
    <s v="375"/>
    <n v="531"/>
    <s v="nel.branca"/>
    <s v="M"/>
    <d v="2015-09-26T00:00:00"/>
    <s v="SR/DIMAS"/>
    <n v="983"/>
    <s v="Cria da Fazenda"/>
    <x v="6"/>
    <m/>
    <d v="2016-08-30T00:00:00"/>
    <n v="5"/>
    <n v="900"/>
  </r>
  <r>
    <s v="376"/>
    <n v="532"/>
    <s v="nel.castanha"/>
    <s v="F"/>
    <d v="2015-10-05T00:00:00"/>
    <s v="SR/DIMAS"/>
    <n v="987"/>
    <s v="Cria da Fazenda"/>
    <x v="6"/>
    <m/>
    <d v="2016-08-30T00:00:00"/>
    <n v="5.75"/>
    <n v="978"/>
  </r>
  <r>
    <s v="377"/>
    <n v="533"/>
    <s v="nel.branca"/>
    <s v="F"/>
    <d v="2015-10-14T00:00:00"/>
    <n v="1043"/>
    <n v="979"/>
    <s v="Cria da Fazenda"/>
    <x v="7"/>
    <m/>
    <d v="2016-12-06T00:00:00"/>
    <n v="4.95"/>
    <n v="842"/>
  </r>
  <r>
    <s v="378"/>
    <n v="534"/>
    <s v="nel.branca"/>
    <s v="F"/>
    <d v="2015-10-18T00:00:00"/>
    <n v="1043"/>
    <n v="991"/>
    <s v="Cria da Fazenda"/>
    <x v="7"/>
    <m/>
    <d v="2016-12-06T00:00:00"/>
    <n v="4.95"/>
    <n v="842"/>
  </r>
  <r>
    <s v="379"/>
    <n v="535"/>
    <s v="nel.branca"/>
    <s v="F"/>
    <d v="2015-10-20T00:00:00"/>
    <n v="1043"/>
    <n v="965"/>
    <s v="Cria da Fazenda"/>
    <x v="7"/>
    <m/>
    <d v="2016-12-06T00:00:00"/>
    <n v="4.95"/>
    <n v="842"/>
  </r>
  <r>
    <s v="380"/>
    <n v="536"/>
    <s v="nel.branca"/>
    <s v="F"/>
    <d v="2015-11-03T00:00:00"/>
    <n v="1055"/>
    <n v="939"/>
    <s v="Cria da Fazenda"/>
    <x v="7"/>
    <m/>
    <d v="2016-12-06T00:00:00"/>
    <n v="4.95"/>
    <n v="842"/>
  </r>
  <r>
    <s v="381"/>
    <n v="537"/>
    <s v="nel.castanha"/>
    <s v="F"/>
    <d v="2015-11-03T00:00:00"/>
    <n v="1055"/>
    <n v="967"/>
    <s v="Cria da Fazenda"/>
    <x v="7"/>
    <m/>
    <d v="2016-12-06T00:00:00"/>
    <n v="4.95"/>
    <n v="842"/>
  </r>
  <r>
    <s v="382"/>
    <n v="538"/>
    <s v="nel.branca"/>
    <s v="M"/>
    <d v="2015-11-05T00:00:00"/>
    <n v="1043"/>
    <n v="943"/>
    <s v="Cria da Fazenda"/>
    <x v="6"/>
    <m/>
    <d v="2016-08-30T00:00:00"/>
    <n v="5"/>
    <n v="900"/>
  </r>
  <r>
    <s v="383"/>
    <n v="539"/>
    <s v="nel.castanha"/>
    <s v="M"/>
    <d v="2015-11-09T00:00:00"/>
    <n v="1055"/>
    <n v="954"/>
    <s v="Cria da Fazenda"/>
    <x v="6"/>
    <m/>
    <d v="2016-08-30T00:00:00"/>
    <n v="5"/>
    <n v="900"/>
  </r>
  <r>
    <s v="384"/>
    <n v="540"/>
    <s v="nel.branca"/>
    <s v="M"/>
    <d v="2015-11-15T00:00:00"/>
    <n v="1055"/>
    <n v="976"/>
    <s v="Cria da Fazenda"/>
    <x v="6"/>
    <m/>
    <d v="2016-08-30T00:00:00"/>
    <n v="5"/>
    <n v="900"/>
  </r>
  <r>
    <s v="385"/>
    <n v="541"/>
    <s v="nel.branca"/>
    <s v="F"/>
    <d v="2015-11-17T00:00:00"/>
    <n v="1043"/>
    <n v="900"/>
    <s v="Cria da Fazenda"/>
    <x v="7"/>
    <m/>
    <d v="2016-12-06T00:00:00"/>
    <n v="4.95"/>
    <n v="842"/>
  </r>
  <r>
    <s v="386"/>
    <n v="542"/>
    <s v="nel.branca"/>
    <s v="M"/>
    <d v="2015-11-21T00:00:00"/>
    <n v="1055"/>
    <n v="993"/>
    <s v="Cria da Fazenda"/>
    <x v="6"/>
    <m/>
    <d v="2016-08-30T00:00:00"/>
    <n v="5"/>
    <n v="900"/>
  </r>
  <r>
    <s v="387"/>
    <n v="543"/>
    <s v="nel.branca"/>
    <s v="M"/>
    <d v="2015-11-21T00:00:00"/>
    <n v="1043"/>
    <n v="951"/>
    <s v="Cria da Fazenda"/>
    <x v="6"/>
    <m/>
    <d v="2016-08-30T00:00:00"/>
    <n v="5"/>
    <n v="900"/>
  </r>
  <r>
    <s v="388"/>
    <n v="544"/>
    <s v="nel.branca"/>
    <s v="M"/>
    <d v="2015-11-24T00:00:00"/>
    <n v="1055"/>
    <n v="942"/>
    <s v="Cria da Fazenda"/>
    <x v="6"/>
    <m/>
    <d v="2016-08-30T00:00:00"/>
    <n v="5"/>
    <n v="900"/>
  </r>
  <r>
    <s v="389"/>
    <n v="546"/>
    <s v="nel.branca"/>
    <s v="M"/>
    <d v="2015-11-28T00:00:00"/>
    <n v="1055"/>
    <n v="874"/>
    <s v="Cria da Fazenda"/>
    <x v="7"/>
    <m/>
    <d v="2016-12-02T00:00:00"/>
    <n v="4.95"/>
    <n v="842"/>
  </r>
  <r>
    <s v="390"/>
    <n v="547"/>
    <s v="nel.branca"/>
    <s v="M"/>
    <d v="2015-12-01T00:00:00"/>
    <n v="1055"/>
    <n v="950"/>
    <s v="Cria da Fazenda"/>
    <x v="6"/>
    <m/>
    <d v="2016-08-30T00:00:00"/>
    <n v="5"/>
    <n v="900"/>
  </r>
  <r>
    <s v="391"/>
    <n v="548"/>
    <s v="nel.branca"/>
    <s v="M"/>
    <d v="2015-12-01T00:00:00"/>
    <n v="1055"/>
    <n v="867"/>
    <s v="Cria da Fazenda"/>
    <x v="6"/>
    <m/>
    <d v="2016-08-30T00:00:00"/>
    <n v="5"/>
    <n v="900"/>
  </r>
  <r>
    <s v="392"/>
    <n v="549"/>
    <s v="nel.castanha"/>
    <s v="F"/>
    <d v="2015-12-11T00:00:00"/>
    <n v="1043"/>
    <n v="880"/>
    <s v="Cria da Fazenda"/>
    <x v="7"/>
    <m/>
    <d v="2016-12-06T00:00:00"/>
    <n v="4.95"/>
    <n v="842"/>
  </r>
  <r>
    <s v="393"/>
    <n v="550"/>
    <s v="nel.branca"/>
    <s v="M"/>
    <d v="2015-12-18T00:00:00"/>
    <n v="1055"/>
    <n v="957"/>
    <s v="Cria da Fazenda"/>
    <x v="6"/>
    <m/>
    <d v="2016-08-30T00:00:00"/>
    <n v="5"/>
    <n v="900"/>
  </r>
  <r>
    <s v="394"/>
    <n v="551"/>
    <s v="nel.branca"/>
    <s v="M"/>
    <d v="2015-12-21T00:00:00"/>
    <n v="1055"/>
    <n v="990"/>
    <s v="Cria da Fazenda"/>
    <x v="1"/>
    <s v="Nasceu morto"/>
    <s v="xxxxx"/>
    <s v="xxxxx"/>
    <s v="xxxxx"/>
  </r>
  <r>
    <s v="395"/>
    <n v="553"/>
    <s v="nel.branca"/>
    <s v="F"/>
    <d v="2016-01-05T00:00:00"/>
    <n v="1055"/>
    <n v="860"/>
    <s v="Cria da Fazenda"/>
    <x v="7"/>
    <m/>
    <d v="2016-12-06T00:00:00"/>
    <n v="4.95"/>
    <n v="842"/>
  </r>
  <r>
    <s v="396"/>
    <n v="554"/>
    <s v="nel.branca"/>
    <s v="F"/>
    <d v="2016-01-06T00:00:00"/>
    <n v="1043"/>
    <n v="884"/>
    <s v="Cria da Fazenda"/>
    <x v="7"/>
    <m/>
    <d v="2016-12-06T00:00:00"/>
    <n v="4.95"/>
    <n v="842"/>
  </r>
  <r>
    <s v="397"/>
    <n v="555"/>
    <s v="nel.branca"/>
    <s v="M"/>
    <d v="2016-01-11T00:00:00"/>
    <n v="1055"/>
    <n v="992"/>
    <s v="Cria da Fazenda"/>
    <x v="6"/>
    <m/>
    <d v="2016-08-30T00:00:00"/>
    <n v="5"/>
    <n v="900"/>
  </r>
  <r>
    <s v="398"/>
    <n v="556"/>
    <s v="nel.branca"/>
    <s v="M"/>
    <d v="2016-01-13T00:00:00"/>
    <n v="1055"/>
    <n v="898"/>
    <s v="Cria da Fazenda"/>
    <x v="6"/>
    <m/>
    <d v="2016-08-30T00:00:00"/>
    <n v="5"/>
    <n v="900"/>
  </r>
  <r>
    <s v="399"/>
    <n v="558"/>
    <s v="nel.castanha"/>
    <s v="F"/>
    <d v="2016-02-01T00:00:00"/>
    <n v="1055"/>
    <n v="989"/>
    <s v="Cria da Fazenda"/>
    <x v="7"/>
    <m/>
    <d v="2016-12-06T00:00:00"/>
    <n v="4.95"/>
    <n v="842"/>
  </r>
  <r>
    <s v="400"/>
    <n v="559"/>
    <s v="nel.branca"/>
    <s v="F"/>
    <d v="2016-02-03T00:00:00"/>
    <n v="1043"/>
    <n v="893"/>
    <s v="Cria da Fazenda"/>
    <x v="7"/>
    <m/>
    <d v="2016-12-06T00:00:00"/>
    <n v="4.95"/>
    <n v="842"/>
  </r>
  <r>
    <s v="401"/>
    <n v="560"/>
    <s v="nel.branca"/>
    <s v="F"/>
    <d v="2016-02-03T00:00:00"/>
    <s v="Nelore 2"/>
    <n v="936"/>
    <s v="Cria da Fazenda"/>
    <x v="7"/>
    <m/>
    <d v="2016-12-06T00:00:00"/>
    <n v="4.95"/>
    <n v="842"/>
  </r>
  <r>
    <s v="402"/>
    <n v="561"/>
    <s v="nel.branca"/>
    <s v="M"/>
    <d v="2016-02-08T00:00:00"/>
    <n v="1043"/>
    <n v="964"/>
    <s v="Cria da Fazenda"/>
    <x v="6"/>
    <m/>
    <d v="2016-08-30T00:00:00"/>
    <n v="5"/>
    <n v="900"/>
  </r>
  <r>
    <s v="403"/>
    <n v="562"/>
    <s v="nel.branca"/>
    <s v="M"/>
    <d v="2016-02-09T00:00:00"/>
    <n v="1043"/>
    <n v="958"/>
    <s v="Cria da Fazenda"/>
    <x v="6"/>
    <m/>
    <d v="2016-08-30T00:00:00"/>
    <n v="5"/>
    <n v="900"/>
  </r>
  <r>
    <s v="404"/>
    <n v="563"/>
    <s v="nel.branca"/>
    <s v="M"/>
    <d v="2016-02-13T00:00:00"/>
    <n v="1043"/>
    <n v="865"/>
    <s v="Cria da Fazenda"/>
    <x v="6"/>
    <m/>
    <d v="2016-08-30T00:00:00"/>
    <n v="5"/>
    <n v="900"/>
  </r>
  <r>
    <s v="405"/>
    <n v="564"/>
    <s v="nel.branca"/>
    <s v="M"/>
    <d v="2016-02-15T00:00:00"/>
    <s v="Nelore 2"/>
    <n v="889"/>
    <s v="Cria da Fazenda"/>
    <x v="6"/>
    <m/>
    <d v="2016-08-30T00:00:00"/>
    <n v="5"/>
    <n v="900"/>
  </r>
  <r>
    <s v="406"/>
    <n v="565"/>
    <s v="nel.branca"/>
    <s v="M"/>
    <d v="2016-02-19T00:00:00"/>
    <s v="Nelore 2"/>
    <n v="871"/>
    <s v="Cria da Fazenda"/>
    <x v="6"/>
    <m/>
    <d v="2016-08-30T00:00:00"/>
    <n v="5"/>
    <n v="900"/>
  </r>
  <r>
    <s v="407"/>
    <n v="566"/>
    <s v="nel.castanha"/>
    <s v="M"/>
    <d v="2016-02-19T00:00:00"/>
    <n v="1043"/>
    <n v="963"/>
    <s v="Cria da Fazenda"/>
    <x v="6"/>
    <m/>
    <d v="2016-08-30T00:00:00"/>
    <n v="5"/>
    <n v="900"/>
  </r>
  <r>
    <s v="408"/>
    <n v="567"/>
    <s v="nel.branca"/>
    <s v="M"/>
    <d v="2016-02-19T00:00:00"/>
    <n v="1043"/>
    <n v="858"/>
    <s v="Cria da Fazenda"/>
    <x v="6"/>
    <m/>
    <d v="2016-08-30T00:00:00"/>
    <n v="5"/>
    <n v="900"/>
  </r>
  <r>
    <s v="409"/>
    <n v="568"/>
    <s v="nel.castanha"/>
    <s v="M"/>
    <d v="2016-03-02T00:00:00"/>
    <s v="Nelore 2"/>
    <n v="985"/>
    <s v="Cria da Fazenda"/>
    <x v="6"/>
    <m/>
    <d v="2016-08-30T00:00:00"/>
    <n v="5"/>
    <n v="900"/>
  </r>
  <r>
    <s v="410"/>
    <n v="569"/>
    <s v="nel.branca"/>
    <s v="M"/>
    <d v="2016-05-29T00:00:00"/>
    <s v="Nelore 2"/>
    <n v="894"/>
    <s v="Cria da Fazenda"/>
    <x v="6"/>
    <m/>
    <d v="2016-08-30T00:00:00"/>
    <n v="5"/>
    <n v="900"/>
  </r>
  <r>
    <s v="411"/>
    <n v="570"/>
    <s v="nel.branca"/>
    <s v="F"/>
    <d v="2016-06-08T00:00:00"/>
    <n v="1055"/>
    <n v="931"/>
    <s v="Cria da Fazenda"/>
    <x v="7"/>
    <m/>
    <d v="2016-12-06T00:00:00"/>
    <n v="4.95"/>
    <n v="842"/>
  </r>
  <r>
    <s v="412"/>
    <n v="571"/>
    <s v="nel.castanha"/>
    <s v="F"/>
    <d v="2016-06-08T00:00:00"/>
    <n v="1043"/>
    <n v="972"/>
    <s v="Cria da Fazenda"/>
    <x v="7"/>
    <m/>
    <d v="2016-12-06T00:00:00"/>
    <n v="4.95"/>
    <n v="842"/>
  </r>
  <r>
    <s v="413"/>
    <n v="572"/>
    <s v="nel.branca"/>
    <s v="M"/>
    <d v="2016-06-10T00:00:00"/>
    <s v="Nelore 2"/>
    <n v="872"/>
    <s v="Cria da Fazenda"/>
    <x v="7"/>
    <m/>
    <d v="2016-12-06T00:00:00"/>
    <n v="4.55"/>
    <n v="796"/>
  </r>
  <r>
    <s v="414"/>
    <n v="573"/>
    <s v="nel.branca"/>
    <s v="M"/>
    <d v="2016-06-11T00:00:00"/>
    <s v="Nelore 2"/>
    <n v="930"/>
    <s v="Cria da Fazenda"/>
    <x v="7"/>
    <m/>
    <d v="2016-12-06T00:00:00"/>
    <n v="4.55"/>
    <n v="796"/>
  </r>
  <r>
    <s v="415"/>
    <n v="574"/>
    <s v="nel.branca"/>
    <s v="M"/>
    <d v="2016-06-12T00:00:00"/>
    <s v="Nelore 2"/>
    <n v="862"/>
    <s v="Cria da Fazenda"/>
    <x v="7"/>
    <m/>
    <d v="2016-12-06T00:00:00"/>
    <n v="4.55"/>
    <n v="796"/>
  </r>
  <r>
    <s v="416"/>
    <n v="575"/>
    <s v="nel.branca"/>
    <s v="M"/>
    <d v="2016-06-13T00:00:00"/>
    <s v="Nelore 2"/>
    <n v="977"/>
    <s v="Cria da Fazenda"/>
    <x v="7"/>
    <m/>
    <d v="2016-12-06T00:00:00"/>
    <n v="4.55"/>
    <n v="796"/>
  </r>
  <r>
    <s v="417"/>
    <n v="576"/>
    <s v="nel.branca"/>
    <s v="M"/>
    <d v="2016-06-15T00:00:00"/>
    <s v="Nelore 2"/>
    <n v="980"/>
    <s v="Cria da Fazenda"/>
    <x v="7"/>
    <m/>
    <d v="2016-12-06T00:00:00"/>
    <n v="4.55"/>
    <n v="796"/>
  </r>
  <r>
    <s v="418"/>
    <n v="577"/>
    <s v="nel.castanha"/>
    <s v="F"/>
    <d v="2016-06-16T00:00:00"/>
    <s v="Nelore 2"/>
    <n v="881"/>
    <s v="Cria da Fazenda"/>
    <x v="5"/>
    <m/>
    <d v="2017-08-28T00:00:00"/>
    <n v="5.56"/>
    <n v="782"/>
  </r>
  <r>
    <s v="419"/>
    <n v="578"/>
    <s v="nel.branca"/>
    <s v="M"/>
    <d v="2016-06-18T00:00:00"/>
    <s v="Nelore 2"/>
    <n v="885"/>
    <s v="Cria da Fazenda"/>
    <x v="7"/>
    <m/>
    <d v="2016-12-06T00:00:00"/>
    <n v="4.55"/>
    <n v="796"/>
  </r>
  <r>
    <s v="420"/>
    <n v="579"/>
    <s v="nel.castanha"/>
    <s v="F"/>
    <d v="2016-06-25T00:00:00"/>
    <s v="Nelore 2"/>
    <n v="896"/>
    <s v="Cria da Fazenda"/>
    <x v="5"/>
    <m/>
    <d v="2017-08-28T00:00:00"/>
    <n v="5.56"/>
    <n v="782"/>
  </r>
  <r>
    <s v="421"/>
    <n v="580"/>
    <s v="nel.branca"/>
    <s v="M"/>
    <d v="2016-06-30T00:00:00"/>
    <s v="Nelore 2"/>
    <n v="974"/>
    <s v="Cria da Fazenda"/>
    <x v="7"/>
    <m/>
    <d v="2016-12-06T00:00:00"/>
    <n v="4.55"/>
    <n v="796"/>
  </r>
  <r>
    <s v="422"/>
    <n v="581"/>
    <s v="nel.castanha"/>
    <s v="M"/>
    <d v="2016-07-04T00:00:00"/>
    <s v="Nelore 2"/>
    <n v="984"/>
    <s v="Cria da Fazenda"/>
    <x v="7"/>
    <m/>
    <d v="2016-12-06T00:00:00"/>
    <n v="4.55"/>
    <n v="796"/>
  </r>
  <r>
    <s v="423"/>
    <n v="582"/>
    <s v="nel.branca"/>
    <s v="M"/>
    <d v="2016-07-13T00:00:00"/>
    <s v="Nelore 2"/>
    <n v="978"/>
    <s v="Cria da Fazenda"/>
    <x v="7"/>
    <m/>
    <d v="2016-12-06T00:00:00"/>
    <n v="4.55"/>
    <n v="796"/>
  </r>
  <r>
    <s v="424"/>
    <n v="583"/>
    <s v="nel.castanha"/>
    <s v="M"/>
    <d v="2016-07-16T00:00:00"/>
    <n v="1043"/>
    <n v="873"/>
    <s v="Cria da Fazenda"/>
    <x v="6"/>
    <m/>
    <d v="2017-08-04T00:00:00"/>
    <n v="6.83"/>
    <n v="1133"/>
  </r>
  <r>
    <s v="425"/>
    <n v="584"/>
    <s v="nel.castanha"/>
    <s v="M"/>
    <d v="2016-07-20T00:00:00"/>
    <s v="Nelore 2"/>
    <n v="986"/>
    <s v="Cria da Fazenda"/>
    <x v="6"/>
    <m/>
    <d v="2017-08-04T00:00:00"/>
    <n v="6.83"/>
    <n v="1133"/>
  </r>
  <r>
    <s v="426"/>
    <n v="585"/>
    <s v="nel.castanha"/>
    <s v="F"/>
    <d v="2016-07-22T00:00:00"/>
    <n v="1043"/>
    <n v="890"/>
    <s v="Cria da Fazenda"/>
    <x v="5"/>
    <m/>
    <d v="2017-08-28T00:00:00"/>
    <n v="5.56"/>
    <n v="782"/>
  </r>
  <r>
    <s v="427"/>
    <n v="586"/>
    <s v="nel.branca"/>
    <s v="F"/>
    <d v="2016-07-23T00:00:00"/>
    <n v="1043"/>
    <n v="947"/>
    <s v="Cria da Fazenda"/>
    <x v="5"/>
    <m/>
    <d v="2017-08-28T00:00:00"/>
    <n v="5.56"/>
    <n v="782"/>
  </r>
  <r>
    <s v="428"/>
    <n v="587"/>
    <s v="nel.branca"/>
    <s v="F"/>
    <d v="2016-07-29T00:00:00"/>
    <n v="1043"/>
    <n v="966"/>
    <s v="Cria da Fazenda"/>
    <x v="5"/>
    <m/>
    <d v="2017-08-28T00:00:00"/>
    <n v="5.56"/>
    <n v="782"/>
  </r>
  <r>
    <s v="429"/>
    <n v="588"/>
    <s v="nel.branca"/>
    <s v="M"/>
    <d v="2016-08-01T00:00:00"/>
    <n v="1055"/>
    <n v="926"/>
    <s v="Cria da Fazenda"/>
    <x v="6"/>
    <m/>
    <d v="2017-08-04T00:00:00"/>
    <n v="6.83"/>
    <n v="1133"/>
  </r>
  <r>
    <s v="430"/>
    <n v="589"/>
    <s v="nel.branca"/>
    <s v="M"/>
    <d v="2016-08-06T00:00:00"/>
    <n v="1043"/>
    <n v="897"/>
    <s v="Cria da Fazenda"/>
    <x v="6"/>
    <m/>
    <d v="2017-08-04T00:00:00"/>
    <n v="6.83"/>
    <n v="1133"/>
  </r>
  <r>
    <s v="431"/>
    <n v="590"/>
    <s v="nel.branca"/>
    <s v="M"/>
    <d v="2016-08-07T00:00:00"/>
    <n v="1043"/>
    <n v="956"/>
    <s v="Cria da Fazenda"/>
    <x v="6"/>
    <m/>
    <d v="2017-08-04T00:00:00"/>
    <n v="6.83"/>
    <n v="1133"/>
  </r>
  <r>
    <s v="432"/>
    <n v="591"/>
    <s v="nel.branca"/>
    <s v="F"/>
    <d v="2016-08-23T00:00:00"/>
    <n v="1043"/>
    <n v="854"/>
    <s v="Cria da Fazenda"/>
    <x v="5"/>
    <m/>
    <d v="2017-08-28T00:00:00"/>
    <n v="5.56"/>
    <n v="782"/>
  </r>
  <r>
    <s v="433"/>
    <n v="592"/>
    <s v="nel.castanha"/>
    <s v="M"/>
    <d v="2016-08-29T00:00:00"/>
    <n v="1043"/>
    <n v="988"/>
    <s v="Cria da Fazenda"/>
    <x v="1"/>
    <s v="Mor.inchaço glang."/>
    <d v="2016-09-08T00:00:00"/>
    <s v="xxxxx"/>
    <s v="xxxxx"/>
  </r>
  <r>
    <s v="434"/>
    <n v="593"/>
    <s v="nel.castanha"/>
    <s v="F"/>
    <d v="2016-09-06T00:00:00"/>
    <n v="1043"/>
    <n v="886"/>
    <s v="Cria da Fazenda"/>
    <x v="5"/>
    <m/>
    <d v="2017-08-28T00:00:00"/>
    <n v="5.56"/>
    <n v="782"/>
  </r>
  <r>
    <s v="435"/>
    <n v="594"/>
    <s v="nel.castanha"/>
    <s v="F"/>
    <d v="2016-09-10T00:00:00"/>
    <n v="1043"/>
    <n v="968"/>
    <s v="Cria da Fazenda"/>
    <x v="5"/>
    <m/>
    <d v="2017-08-28T00:00:00"/>
    <n v="5.56"/>
    <n v="782"/>
  </r>
  <r>
    <s v="436"/>
    <n v="595"/>
    <s v="nel.branca"/>
    <s v="F"/>
    <d v="2016-09-13T00:00:00"/>
    <n v="1043"/>
    <n v="875"/>
    <s v="Cria da Fazenda"/>
    <x v="5"/>
    <m/>
    <d v="2017-08-28T00:00:00"/>
    <n v="5.56"/>
    <n v="782"/>
  </r>
  <r>
    <s v="437"/>
    <n v="596"/>
    <s v="nel.branca"/>
    <s v="M"/>
    <d v="2016-09-14T00:00:00"/>
    <n v="1043"/>
    <n v="863"/>
    <s v="Cria da Fazenda"/>
    <x v="6"/>
    <m/>
    <d v="2017-08-04T00:00:00"/>
    <n v="6.83"/>
    <n v="1133"/>
  </r>
  <r>
    <s v="438"/>
    <n v="597"/>
    <s v="nel.branca"/>
    <s v="M"/>
    <d v="2016-09-18T00:00:00"/>
    <n v="1043"/>
    <n v="969"/>
    <s v="Cria da Fazenda"/>
    <x v="6"/>
    <m/>
    <d v="2017-08-04T00:00:00"/>
    <n v="6.83"/>
    <n v="1133"/>
  </r>
  <r>
    <s v="439"/>
    <n v="598"/>
    <s v="nel.branca"/>
    <s v="F"/>
    <d v="2016-09-18T00:00:00"/>
    <n v="1043"/>
    <n v="870"/>
    <s v="Cria da Fazenda"/>
    <x v="5"/>
    <m/>
    <d v="2017-08-28T00:00:00"/>
    <n v="5.56"/>
    <n v="782"/>
  </r>
  <r>
    <s v="440"/>
    <n v="599"/>
    <s v="nel.branca"/>
    <s v="M"/>
    <d v="2016-09-21T00:00:00"/>
    <n v="1043"/>
    <n v="928"/>
    <s v="Cria da Fazenda"/>
    <x v="6"/>
    <m/>
    <d v="2017-08-04T00:00:00"/>
    <n v="6.83"/>
    <n v="1133"/>
  </r>
  <r>
    <s v="441"/>
    <n v="600"/>
    <s v="nel.castanha"/>
    <s v="M"/>
    <d v="2016-09-22T00:00:00"/>
    <n v="1043"/>
    <n v="961"/>
    <s v="Cria da Fazenda"/>
    <x v="6"/>
    <m/>
    <d v="2017-08-04T00:00:00"/>
    <n v="6.83"/>
    <n v="1133"/>
  </r>
  <r>
    <s v="442"/>
    <n v="601"/>
    <s v="nel.branca"/>
    <s v="M"/>
    <d v="2016-09-22T00:00:00"/>
    <n v="1043"/>
    <n v="859"/>
    <s v="Cria da Fazenda"/>
    <x v="6"/>
    <m/>
    <d v="2017-08-04T00:00:00"/>
    <n v="6.83"/>
    <n v="1133"/>
  </r>
  <r>
    <s v="443"/>
    <n v="602"/>
    <s v="nel.branca"/>
    <s v="M"/>
    <d v="2016-09-26T00:00:00"/>
    <n v="1043"/>
    <n v="934"/>
    <s v="Cria da Fazenda"/>
    <x v="6"/>
    <m/>
    <d v="2017-08-04T00:00:00"/>
    <n v="6.83"/>
    <n v="1133"/>
  </r>
  <r>
    <s v="444"/>
    <n v="603"/>
    <s v="nel.branca"/>
    <s v="M"/>
    <d v="2016-09-26T00:00:00"/>
    <n v="1043"/>
    <n v="869"/>
    <s v="Cria da Fazenda"/>
    <x v="6"/>
    <m/>
    <d v="2017-08-04T00:00:00"/>
    <n v="6.83"/>
    <n v="1133"/>
  </r>
  <r>
    <s v="445"/>
    <n v="604"/>
    <s v="nel.branca"/>
    <s v="F"/>
    <d v="2016-09-30T00:00:00"/>
    <n v="1043"/>
    <n v="899"/>
    <s v="Cria da Fazenda"/>
    <x v="5"/>
    <m/>
    <d v="2017-08-28T00:00:00"/>
    <n v="5.56"/>
    <n v="782"/>
  </r>
  <r>
    <s v="446"/>
    <n v="605"/>
    <s v="nel.branca"/>
    <s v="F"/>
    <d v="2016-10-02T00:00:00"/>
    <n v="1043"/>
    <n v="973"/>
    <s v="Cria da Fazenda"/>
    <x v="5"/>
    <m/>
    <d v="2017-08-28T00:00:00"/>
    <n v="5.56"/>
    <n v="782"/>
  </r>
  <r>
    <s v="447"/>
    <n v="606"/>
    <s v="nel.branca"/>
    <s v="F"/>
    <d v="2016-10-06T00:00:00"/>
    <s v="Nelore 2"/>
    <n v="933"/>
    <s v="Cria da Fazenda"/>
    <x v="5"/>
    <m/>
    <d v="2017-08-28T00:00:00"/>
    <n v="5.56"/>
    <n v="782"/>
  </r>
  <r>
    <s v="448"/>
    <n v="607"/>
    <s v="nel.branca"/>
    <s v="F"/>
    <d v="2016-10-11T00:00:00"/>
    <s v="Nelore 2"/>
    <n v="949"/>
    <s v="Cria da Fazenda"/>
    <x v="5"/>
    <m/>
    <d v="2017-08-28T00:00:00"/>
    <n v="5.56"/>
    <n v="782"/>
  </r>
  <r>
    <s v="449"/>
    <n v="608"/>
    <s v="nel.branca"/>
    <s v="F"/>
    <d v="2016-10-19T00:00:00"/>
    <s v="Nelore 2"/>
    <n v="946"/>
    <s v="Cria da Fazenda"/>
    <x v="5"/>
    <m/>
    <d v="2017-08-28T00:00:00"/>
    <n v="5.56"/>
    <n v="782"/>
  </r>
  <r>
    <s v="450"/>
    <n v="609"/>
    <s v="nel.branca"/>
    <s v="F"/>
    <d v="2016-11-07T00:00:00"/>
    <n v="1055"/>
    <n v="877"/>
    <s v="Cria da Fazenda"/>
    <x v="5"/>
    <m/>
    <d v="2017-08-28T00:00:00"/>
    <n v="5.56"/>
    <n v="782"/>
  </r>
  <r>
    <s v="451"/>
    <n v="610"/>
    <s v="nel.branca"/>
    <s v="F"/>
    <d v="2016-11-07T00:00:00"/>
    <n v="1055"/>
    <n v="990"/>
    <s v="Cria da Fazenda"/>
    <x v="5"/>
    <m/>
    <d v="2017-08-28T00:00:00"/>
    <n v="5.56"/>
    <n v="782"/>
  </r>
  <r>
    <s v="452"/>
    <n v="611"/>
    <s v="nel.branca"/>
    <s v="M"/>
    <d v="2016-11-15T00:00:00"/>
    <n v="1055"/>
    <n v="954"/>
    <s v="Cria da Fazenda"/>
    <x v="6"/>
    <m/>
    <d v="2017-08-04T00:00:00"/>
    <n v="6.83"/>
    <n v="1133"/>
  </r>
  <r>
    <s v="453"/>
    <n v="612"/>
    <s v="nel.branca"/>
    <s v="M"/>
    <d v="2016-11-15T00:00:00"/>
    <s v="Nelore 2"/>
    <n v="876"/>
    <s v="Cria da Fazenda"/>
    <x v="6"/>
    <m/>
    <d v="2017-08-04T00:00:00"/>
    <n v="6.83"/>
    <n v="1133"/>
  </r>
  <r>
    <s v="454"/>
    <n v="613"/>
    <s v="nel.branca"/>
    <s v="M"/>
    <d v="2016-12-23T00:00:00"/>
    <n v="1055"/>
    <n v="965"/>
    <s v="Cria da Fazenda"/>
    <x v="6"/>
    <m/>
    <d v="2017-08-04T00:00:00"/>
    <n v="6.83"/>
    <n v="1133"/>
  </r>
  <r>
    <s v="455"/>
    <s v="S/R"/>
    <s v="S/R"/>
    <s v="S/R"/>
    <d v="2017-09-30T00:00:00"/>
    <n v="1043"/>
    <n v="928"/>
    <s v="Cria da Fazenda"/>
    <x v="1"/>
    <s v="morreu prd/pasto"/>
    <s v="xxxxx"/>
    <s v="xxxxx"/>
    <s v="xxxxx"/>
  </r>
  <r>
    <s v="456"/>
    <n v="614"/>
    <s v="nel.branca"/>
    <s v="M"/>
    <d v="2017-02-20T00:00:00"/>
    <s v="Nelore 2"/>
    <n v="867"/>
    <s v="Cria da Fazenda"/>
    <x v="6"/>
    <m/>
    <d v="2017-08-04T00:00:00"/>
    <n v="6.83"/>
    <n v="1133"/>
  </r>
  <r>
    <s v="457"/>
    <n v="615"/>
    <s v="nel.branca"/>
    <s v="M"/>
    <d v="2017-02-27T00:00:00"/>
    <n v="1043"/>
    <n v="882"/>
    <s v="Cria da Fazenda"/>
    <x v="6"/>
    <m/>
    <d v="2017-08-04T00:00:00"/>
    <n v="6.83"/>
    <n v="1133"/>
  </r>
  <r>
    <s v="458"/>
    <n v="616"/>
    <s v="nel.branca"/>
    <s v="F"/>
    <d v="2017-02-28T00:00:00"/>
    <n v="1055"/>
    <n v="944"/>
    <s v="Cria da Fazenda"/>
    <x v="7"/>
    <m/>
    <d v="2018-03-03T00:00:00"/>
    <n v="5.62"/>
    <n v="1012"/>
  </r>
  <r>
    <s v="459"/>
    <n v="617"/>
    <s v="nel.castanha"/>
    <s v="F"/>
    <d v="2017-05-04T00:00:00"/>
    <n v="1043"/>
    <n v="967"/>
    <s v="Cria da Fazenda"/>
    <x v="7"/>
    <m/>
    <d v="2018-03-03T00:00:00"/>
    <n v="5.01"/>
    <n v="852"/>
  </r>
  <r>
    <s v="460"/>
    <n v="618"/>
    <s v="nel.branca"/>
    <s v="F"/>
    <d v="2017-05-09T00:00:00"/>
    <s v="Nelore 2"/>
    <n v="939"/>
    <s v="Cria da Fazenda"/>
    <x v="7"/>
    <m/>
    <d v="2018-03-03T00:00:00"/>
    <n v="5.01"/>
    <n v="852"/>
  </r>
  <r>
    <s v="461"/>
    <n v="619"/>
    <s v="nel.branca"/>
    <s v="F"/>
    <d v="2017-05-16T00:00:00"/>
    <s v="Nelore 2"/>
    <n v="957"/>
    <s v="Cria da Fazenda"/>
    <x v="7"/>
    <m/>
    <d v="2018-03-03T00:00:00"/>
    <n v="5.01"/>
    <n v="852"/>
  </r>
  <r>
    <s v="462"/>
    <n v="620"/>
    <s v="nel.branca"/>
    <s v="F"/>
    <d v="2017-05-18T00:00:00"/>
    <s v="Nelore 2"/>
    <n v="945"/>
    <s v="Cria da Fazenda"/>
    <x v="7"/>
    <m/>
    <d v="2018-03-03T00:00:00"/>
    <n v="5.01"/>
    <n v="852"/>
  </r>
  <r>
    <s v="463"/>
    <n v="621"/>
    <s v="nel.branca"/>
    <s v="M"/>
    <d v="2017-05-20T00:00:00"/>
    <s v="Nelore 2"/>
    <n v="929"/>
    <s v="Cria da Fazenda"/>
    <x v="7"/>
    <m/>
    <d v="2018-03-03T00:00:00"/>
    <n v="5.62"/>
    <n v="1012"/>
  </r>
  <r>
    <s v="464"/>
    <n v="622"/>
    <s v="nel.branca"/>
    <s v="M"/>
    <d v="2017-05-24T00:00:00"/>
    <s v="Nelore 2"/>
    <n v="943"/>
    <s v="Cria da Fazenda"/>
    <x v="7"/>
    <m/>
    <d v="2018-03-03T00:00:00"/>
    <n v="5.62"/>
    <n v="1012"/>
  </r>
  <r>
    <s v="465"/>
    <n v="623"/>
    <s v="nel.castanha"/>
    <s v="M"/>
    <d v="2017-05-30T00:00:00"/>
    <s v="Nelore 2"/>
    <n v="880"/>
    <s v="Cria da Fazenda"/>
    <x v="7"/>
    <m/>
    <d v="2018-03-03T00:00:00"/>
    <n v="5.62"/>
    <n v="1012"/>
  </r>
  <r>
    <s v="466"/>
    <n v="624"/>
    <s v="nel.branca"/>
    <s v="M"/>
    <d v="2017-05-31T00:00:00"/>
    <s v="Nelore 2"/>
    <n v="900"/>
    <s v="Cria da Fazenda"/>
    <x v="7"/>
    <m/>
    <d v="2018-03-03T00:00:00"/>
    <n v="5.62"/>
    <n v="1012"/>
  </r>
  <r>
    <s v="467"/>
    <n v="625"/>
    <s v="nel.branca"/>
    <s v="F"/>
    <d v="2017-05-31T00:00:00"/>
    <s v="Nelore 2"/>
    <n v="942"/>
    <s v="Cria da Fazenda"/>
    <x v="7"/>
    <m/>
    <d v="2018-03-03T00:00:00"/>
    <n v="5.01"/>
    <n v="852"/>
  </r>
  <r>
    <s v="468"/>
    <n v="626"/>
    <s v="nel.castanha"/>
    <s v="M"/>
    <d v="2017-05-23T00:00:00"/>
    <s v="Nelore 2"/>
    <n v="951"/>
    <s v="Cria da Fazenda"/>
    <x v="7"/>
    <m/>
    <d v="2018-03-03T00:00:00"/>
    <n v="5.62"/>
    <s v="1;012,00"/>
  </r>
  <r>
    <s v="469"/>
    <n v="627"/>
    <s v="nel.branca"/>
    <s v="M"/>
    <d v="2017-06-03T00:00:00"/>
    <s v="Nelore 2"/>
    <n v="884"/>
    <s v="Cria da Fazenda"/>
    <x v="7"/>
    <m/>
    <d v="2018-03-03T00:00:00"/>
    <n v="5.62"/>
    <n v="1012"/>
  </r>
  <r>
    <s v="470"/>
    <n v="628"/>
    <s v="nel.branca"/>
    <s v="F"/>
    <d v="2017-06-06T00:00:00"/>
    <s v="Nelore 2"/>
    <n v="959"/>
    <s v="Cria da Fazenda"/>
    <x v="7"/>
    <m/>
    <d v="2018-03-03T00:00:00"/>
    <n v="5.01"/>
    <n v="852"/>
  </r>
  <r>
    <s v="471"/>
    <n v="629"/>
    <s v="nel.branca"/>
    <s v="M"/>
    <d v="2017-06-07T00:00:00"/>
    <s v="Nelore 2"/>
    <n v="981"/>
    <s v="Cria da Fazenda"/>
    <x v="7"/>
    <m/>
    <d v="2018-03-03T00:00:00"/>
    <n v="5.62"/>
    <n v="1012"/>
  </r>
  <r>
    <s v="472"/>
    <n v="630"/>
    <s v="nel.branca"/>
    <s v="M"/>
    <d v="2017-06-14T00:00:00"/>
    <s v="Nelore 2"/>
    <n v="860"/>
    <s v="Cria da Fazenda"/>
    <x v="7"/>
    <m/>
    <d v="2018-03-03T00:00:00"/>
    <n v="5.62"/>
    <n v="1012"/>
  </r>
  <r>
    <s v="473"/>
    <n v="631"/>
    <s v="nel.branca"/>
    <s v="M"/>
    <d v="2017-06-16T00:00:00"/>
    <s v="Nelore 2"/>
    <n v="979"/>
    <s v="Cria da Fazenda"/>
    <x v="7"/>
    <m/>
    <d v="2018-03-03T00:00:00"/>
    <n v="5.62"/>
    <n v="1012"/>
  </r>
  <r>
    <s v="474"/>
    <n v="632"/>
    <s v="nel.branca"/>
    <s v="M"/>
    <d v="2017-06-16T00:00:00"/>
    <s v="Nelore 2"/>
    <n v="983"/>
    <s v="Cria da Fazenda"/>
    <x v="7"/>
    <m/>
    <d v="2018-03-03T00:00:00"/>
    <n v="5.62"/>
    <n v="1012"/>
  </r>
  <r>
    <s v="475"/>
    <n v="633"/>
    <s v="nel.branca"/>
    <s v="M"/>
    <d v="2017-06-25T00:00:00"/>
    <s v="Nelore 2"/>
    <n v="874"/>
    <s v="Cria da Fazenda"/>
    <x v="7"/>
    <m/>
    <d v="2018-03-03T00:00:00"/>
    <n v="5.62"/>
    <n v="1012"/>
  </r>
  <r>
    <s v="476"/>
    <n v="634"/>
    <s v="nel.castanha"/>
    <s v="M"/>
    <d v="2017-06-26T00:00:00"/>
    <n v="1055"/>
    <n v="871"/>
    <s v="Cria da Fazenda"/>
    <x v="7"/>
    <m/>
    <d v="2018-03-03T00:00:00"/>
    <n v="5.62"/>
    <n v="1012"/>
  </r>
  <r>
    <s v="477"/>
    <n v="635"/>
    <s v="nel.branca"/>
    <s v="F"/>
    <d v="2017-06-26T00:00:00"/>
    <s v="Nelore 2"/>
    <n v="987"/>
    <s v="Cria da Fazenda"/>
    <x v="7"/>
    <m/>
    <d v="2018-03-03T00:00:00"/>
    <n v="5.01"/>
    <n v="852"/>
  </r>
  <r>
    <s v="478"/>
    <n v="636"/>
    <s v="nel.castanha"/>
    <s v="F"/>
    <d v="2017-06-28T00:00:00"/>
    <n v="1055"/>
    <n v="950"/>
    <s v="Cria da Fazenda"/>
    <x v="7"/>
    <m/>
    <d v="2018-03-03T00:00:00"/>
    <n v="5.01"/>
    <n v="852"/>
  </r>
  <r>
    <s v="479"/>
    <n v="637"/>
    <s v="nel.branca"/>
    <s v="M"/>
    <d v="2017-06-29T00:00:00"/>
    <s v="Nelore 2"/>
    <n v="993"/>
    <s v="Cria da Fazenda"/>
    <x v="7"/>
    <m/>
    <d v="2018-03-03T00:00:00"/>
    <n v="5.62"/>
    <n v="1012"/>
  </r>
  <r>
    <s v="480"/>
    <n v="638"/>
    <s v="nel.castanha"/>
    <s v="M"/>
    <d v="2017-06-29T00:00:00"/>
    <s v="Nelore 2"/>
    <n v="991"/>
    <s v="Cria da Fazenda"/>
    <x v="7"/>
    <m/>
    <d v="2018-03-03T00:00:00"/>
    <n v="5.62"/>
    <n v="1012"/>
  </r>
  <r>
    <s v="481"/>
    <n v="639"/>
    <s v="nel.castanha"/>
    <s v="F"/>
    <d v="2017-07-04T00:00:00"/>
    <n v="1055"/>
    <n v="936"/>
    <s v="Cria da Fazenda"/>
    <x v="7"/>
    <m/>
    <d v="2018-03-03T00:00:00"/>
    <n v="5.01"/>
    <n v="852"/>
  </r>
  <r>
    <s v="482"/>
    <n v="640"/>
    <s v="nel.castanha"/>
    <s v="M"/>
    <d v="2017-07-04T00:00:00"/>
    <n v="1055"/>
    <n v="964"/>
    <s v="Cria da Fazenda"/>
    <x v="1"/>
    <s v="morreu mrd/cobra"/>
    <d v="2017-09-17T00:00:00"/>
    <s v="xxxxx"/>
    <s v="xxxxx"/>
  </r>
  <r>
    <s v="483"/>
    <n v="641"/>
    <s v="nel.branca"/>
    <s v="M"/>
    <d v="2017-07-07T00:00:00"/>
    <n v="1055"/>
    <n v="865"/>
    <s v="Cria da Fazenda"/>
    <x v="7"/>
    <m/>
    <d v="2018-03-03T00:00:00"/>
    <n v="5.62"/>
    <n v="1012"/>
  </r>
  <r>
    <s v="484"/>
    <n v="642"/>
    <s v="nel.branca"/>
    <s v="F"/>
    <d v="2017-07-09T00:00:00"/>
    <n v="1043"/>
    <n v="958"/>
    <s v="Cria da Fazenda"/>
    <x v="7"/>
    <m/>
    <d v="2018-03-03T00:00:00"/>
    <n v="5.01"/>
    <n v="852"/>
  </r>
  <r>
    <s v="485"/>
    <n v="643"/>
    <s v="nel.castanha"/>
    <s v="F"/>
    <d v="2017-07-22T00:00:00"/>
    <n v="1055"/>
    <n v="931"/>
    <s v="Cria da Fazenda"/>
    <x v="7"/>
    <m/>
    <d v="2018-03-03T00:00:00"/>
    <n v="5.01"/>
    <n v="852"/>
  </r>
  <r>
    <s v="486"/>
    <n v="644"/>
    <s v="nel.castanha"/>
    <s v="M"/>
    <d v="2017-07-22T00:00:00"/>
    <n v="1055"/>
    <n v="889"/>
    <s v="Cria da Fazenda"/>
    <x v="7"/>
    <m/>
    <d v="2018-03-03T00:00:00"/>
    <n v="5.62"/>
    <n v="1012"/>
  </r>
  <r>
    <s v="487"/>
    <n v="645"/>
    <s v="nel.castanha"/>
    <s v="M"/>
    <d v="2017-07-24T00:00:00"/>
    <n v="1043"/>
    <n v="947"/>
    <s v="Cria da Fazenda"/>
    <x v="7"/>
    <m/>
    <d v="2018-03-03T00:00:00"/>
    <n v="5.62"/>
    <n v="1012"/>
  </r>
  <r>
    <s v="488"/>
    <n v="646"/>
    <s v="nel.branca"/>
    <s v="M"/>
    <d v="2017-07-25T00:00:00"/>
    <s v="Nelore 2"/>
    <n v="976"/>
    <s v="Cria da Fazenda"/>
    <x v="7"/>
    <m/>
    <d v="2018-03-03T00:00:00"/>
    <n v="5.62"/>
    <n v="1012"/>
  </r>
  <r>
    <s v="489"/>
    <n v="647"/>
    <s v="nel.branca"/>
    <s v="F"/>
    <d v="2017-07-30T00:00:00"/>
    <n v="1043"/>
    <n v="873"/>
    <s v="Cria da Fazenda"/>
    <x v="7"/>
    <m/>
    <d v="2018-03-03T00:00:00"/>
    <n v="5.01"/>
    <n v="852"/>
  </r>
  <r>
    <s v="490"/>
    <n v="648"/>
    <s v="nel.branca"/>
    <s v="F"/>
    <d v="2017-07-31T00:00:00"/>
    <n v="1043"/>
    <n v="862"/>
    <s v="Cria da Fazenda"/>
    <x v="7"/>
    <m/>
    <d v="2018-03-03T00:00:00"/>
    <n v="5.01"/>
    <n v="852"/>
  </r>
  <r>
    <s v="491"/>
    <n v="649"/>
    <s v="nel.branca"/>
    <s v="F"/>
    <d v="2017-07-31T00:00:00"/>
    <n v="1043"/>
    <n v="963"/>
    <s v="Cria da Fazenda"/>
    <x v="7"/>
    <m/>
    <d v="2018-03-03T00:00:00"/>
    <n v="5.01"/>
    <n v="852"/>
  </r>
  <r>
    <s v="492"/>
    <n v="650"/>
    <s v="nel.castanha"/>
    <s v="F"/>
    <d v="2017-08-04T00:00:00"/>
    <n v="1043"/>
    <n v="881"/>
    <s v="Cria da Fazenda"/>
    <x v="7"/>
    <m/>
    <d v="2018-03-03T00:00:00"/>
    <n v="5.01"/>
    <n v="852"/>
  </r>
  <r>
    <s v="493"/>
    <n v="651"/>
    <s v="nel.branca"/>
    <s v="F"/>
    <d v="2017-08-07T00:00:00"/>
    <n v="1043"/>
    <n v="890"/>
    <s v="Cria da Fazenda"/>
    <x v="7"/>
    <m/>
    <d v="2018-03-03T00:00:00"/>
    <n v="5.01"/>
    <n v="852"/>
  </r>
  <r>
    <s v="494"/>
    <n v="652"/>
    <s v="nel.branca"/>
    <s v="F"/>
    <d v="2017-08-13T00:00:00"/>
    <n v="1055"/>
    <n v="893"/>
    <s v="Cria da Fazenda"/>
    <x v="7"/>
    <m/>
    <d v="2018-03-03T00:00:00"/>
    <n v="5.01"/>
    <n v="852"/>
  </r>
  <r>
    <s v="495"/>
    <n v="653"/>
    <s v="nel.branca"/>
    <s v="F"/>
    <d v="2017-08-14T00:00:00"/>
    <n v="1043"/>
    <n v="966"/>
    <s v="Cria da Fazenda"/>
    <x v="7"/>
    <m/>
    <d v="2018-03-03T00:00:00"/>
    <n v="5.01"/>
    <n v="852"/>
  </r>
  <r>
    <s v="496"/>
    <n v="654"/>
    <s v="nel.castanha"/>
    <s v="M"/>
    <d v="2017-08-17T00:00:00"/>
    <n v="1043"/>
    <n v="930"/>
    <s v="Cria da Fazenda"/>
    <x v="7"/>
    <m/>
    <d v="2018-03-03T00:00:00"/>
    <n v="5.62"/>
    <n v="1012"/>
  </r>
  <r>
    <s v="497"/>
    <n v="655"/>
    <s v="nel.castanha"/>
    <s v="M"/>
    <d v="2017-08-21T00:00:00"/>
    <s v="Nelore 2"/>
    <n v="985"/>
    <s v="Cria da Fazenda"/>
    <x v="7"/>
    <m/>
    <d v="2018-03-03T00:00:00"/>
    <n v="5.62"/>
    <n v="1012"/>
  </r>
  <r>
    <s v="498"/>
    <n v="656"/>
    <s v="nel.castanha"/>
    <s v="F"/>
    <d v="2017-08-22T00:00:00"/>
    <s v="nel.2"/>
    <n v="992"/>
    <s v="Cria da Fazenda"/>
    <x v="7"/>
    <m/>
    <d v="2018-03-03T00:00:00"/>
    <n v="5.01"/>
    <n v="852"/>
  </r>
  <r>
    <s v="499"/>
    <n v="657"/>
    <s v="nel.branca"/>
    <s v="F"/>
    <d v="2017-08-24T00:00:00"/>
    <s v="Nelore 2"/>
    <n v="894"/>
    <s v="Cria da Fazenda"/>
    <x v="7"/>
    <m/>
    <d v="2018-03-03T00:00:00"/>
    <n v="5.01"/>
    <n v="852"/>
  </r>
  <r>
    <s v="500"/>
    <n v="658"/>
    <s v="nel.branca"/>
    <s v="F"/>
    <d v="2017-08-27T00:00:00"/>
    <s v="Nelore 2"/>
    <n v="872"/>
    <s v="Cria da Fazenda"/>
    <x v="7"/>
    <m/>
    <d v="2018-03-03T00:00:00"/>
    <n v="5.01"/>
    <n v="852"/>
  </r>
  <r>
    <s v="501"/>
    <n v="659"/>
    <s v="nel.branca"/>
    <s v="F"/>
    <d v="2017-08-29T00:00:00"/>
    <s v="Nelore 2"/>
    <n v="972"/>
    <s v="Cria da Fazenda"/>
    <x v="7"/>
    <m/>
    <d v="2018-03-03T00:00:00"/>
    <n v="5.01"/>
    <n v="852"/>
  </r>
  <r>
    <s v="502"/>
    <n v="660"/>
    <s v="nel.castanha"/>
    <s v="M"/>
    <d v="2017-08-31T00:00:00"/>
    <n v="1043"/>
    <n v="854"/>
    <s v="Cria da Fazenda"/>
    <x v="7"/>
    <m/>
    <d v="2018-03-03T00:00:00"/>
    <n v="5.62"/>
    <n v="1012"/>
  </r>
  <r>
    <s v="503"/>
    <n v="661"/>
    <s v="nel.branca"/>
    <s v="M"/>
    <d v="2017-09-02T00:00:00"/>
    <n v="1055"/>
    <n v="897"/>
    <s v="Cria da Fazenda"/>
    <x v="7"/>
    <m/>
    <d v="2018-03-03T00:00:00"/>
    <n v="5.62"/>
    <n v="1012"/>
  </r>
  <r>
    <s v="504"/>
    <n v="662"/>
    <s v="nel.branca"/>
    <s v="F"/>
    <d v="2017-09-03T00:00:00"/>
    <n v="1043"/>
    <n v="973"/>
    <s v="Cria da Fazenda"/>
    <x v="7"/>
    <m/>
    <d v="2018-03-03T00:00:00"/>
    <n v="5.01"/>
    <n v="852"/>
  </r>
  <r>
    <s v="505"/>
    <n v="663"/>
    <s v="nel.branca"/>
    <s v="F"/>
    <d v="2017-09-09T00:00:00"/>
    <s v="Nelore 2"/>
    <n v="969"/>
    <s v="Cria da Fazenda"/>
    <x v="7"/>
    <m/>
    <d v="2018-03-03T00:00:00"/>
    <n v="5.01"/>
    <n v="852"/>
  </r>
  <r>
    <s v="506"/>
    <n v="664"/>
    <s v="nel.castanha"/>
    <s v="F"/>
    <d v="2017-09-10T00:00:00"/>
    <s v="Nelore 2"/>
    <n v="989"/>
    <s v="Cria da Fazenda"/>
    <x v="7"/>
    <m/>
    <d v="2018-03-03T00:00:00"/>
    <n v="5.01"/>
    <n v="852"/>
  </r>
  <r>
    <s v="507"/>
    <n v="665"/>
    <s v="nel.branca"/>
    <s v="M"/>
    <d v="2017-09-14T00:00:00"/>
    <n v="1043"/>
    <n v="870"/>
    <s v="Cria da Fazenda"/>
    <x v="7"/>
    <m/>
    <d v="2018-03-03T00:00:00"/>
    <n v="5.62"/>
    <n v="1012"/>
  </r>
  <r>
    <s v="508"/>
    <n v="666"/>
    <s v="nel.branca"/>
    <s v="M"/>
    <d v="2017-10-04T00:00:00"/>
    <n v="1043"/>
    <n v="988"/>
    <s v="Cria da Fazenda"/>
    <x v="7"/>
    <m/>
    <d v="2018-03-03T00:00:00"/>
    <n v="5.62"/>
    <n v="1012"/>
  </r>
  <r>
    <s v="509"/>
    <n v="667"/>
    <s v="nel.castanha"/>
    <s v="F"/>
    <d v="2017-10-06T00:00:00"/>
    <n v="1043"/>
    <n v="946"/>
    <s v="Cria da Fazenda"/>
    <x v="7"/>
    <m/>
    <d v="2018-07-23T00:00:00"/>
    <n v="5.7"/>
    <n v="998"/>
  </r>
  <r>
    <s v="510"/>
    <n v="668"/>
    <s v="nel.branca"/>
    <s v="M"/>
    <d v="2017-10-07T00:00:00"/>
    <n v="1043"/>
    <n v="858"/>
    <s v="Cria da Fazenda"/>
    <x v="7"/>
    <m/>
    <d v="2018-03-03T00:00:00"/>
    <n v="5.62"/>
    <n v="1012"/>
  </r>
  <r>
    <s v="511"/>
    <n v="669"/>
    <s v="nel.branca"/>
    <s v="M"/>
    <d v="2017-10-07T00:00:00"/>
    <n v="1043"/>
    <n v="984"/>
    <s v="Cria da Fazenda"/>
    <x v="7"/>
    <m/>
    <d v="2018-07-23T00:00:00"/>
    <n v="5.63"/>
    <n v="1042"/>
  </r>
  <r>
    <s v="512"/>
    <n v="670"/>
    <s v="nel.castanha"/>
    <s v="M"/>
    <d v="2017-10-09T00:00:00"/>
    <n v="1055"/>
    <n v="896"/>
    <s v="Cria da Fazenda"/>
    <x v="1"/>
    <s v="morreu mrd/cobra"/>
    <d v="2018-02-01T00:00:00"/>
    <s v="xxxxx"/>
    <s v="xxxxx"/>
  </r>
  <r>
    <s v="513"/>
    <n v="671"/>
    <s v="nel.branca"/>
    <s v="F"/>
    <d v="2017-10-12T00:00:00"/>
    <n v="1043"/>
    <n v="974"/>
    <s v="Cria da Fazenda"/>
    <x v="7"/>
    <m/>
    <d v="2018-07-23T00:00:00"/>
    <n v="5.7"/>
    <n v="998"/>
  </r>
  <r>
    <s v="514"/>
    <n v="672"/>
    <s v="nel.castanha"/>
    <s v="F"/>
    <d v="2017-10-12T00:00:00"/>
    <n v="1043"/>
    <n v="977"/>
    <s v="Cria da Fazenda"/>
    <x v="7"/>
    <m/>
    <d v="2018-07-23T00:00:00"/>
    <n v="5.7"/>
    <n v="998"/>
  </r>
  <r>
    <s v="515"/>
    <n v="673"/>
    <s v="nel.castanha"/>
    <s v="M"/>
    <d v="2017-10-18T00:00:00"/>
    <n v="1055"/>
    <n v="863"/>
    <s v="Cria da Fazenda"/>
    <x v="7"/>
    <m/>
    <d v="2018-07-23T00:00:00"/>
    <n v="5.63"/>
    <n v="1042"/>
  </r>
  <r>
    <s v="516"/>
    <n v="674"/>
    <s v="nel.castanha"/>
    <s v="M"/>
    <d v="2017-10-19T00:00:00"/>
    <n v="1043"/>
    <n v="885"/>
    <s v="Cria da Fazenda"/>
    <x v="7"/>
    <m/>
    <d v="2018-07-23T00:00:00"/>
    <n v="5.63"/>
    <n v="1042"/>
  </r>
  <r>
    <s v="517"/>
    <n v="675"/>
    <s v="nel.castanha"/>
    <s v="M"/>
    <d v="2017-10-30T00:00:00"/>
    <n v="1043"/>
    <n v="968"/>
    <s v="Cria da Fazenda"/>
    <x v="7"/>
    <m/>
    <d v="2018-07-23T00:00:00"/>
    <n v="5.63"/>
    <n v="1042"/>
  </r>
  <r>
    <s v="518"/>
    <n v="676"/>
    <s v="nel.branca"/>
    <s v="F"/>
    <d v="2017-11-06T00:00:00"/>
    <n v="1055"/>
    <n v="954"/>
    <s v="Cria da Fazenda"/>
    <x v="7"/>
    <m/>
    <d v="2018-07-23T00:00:00"/>
    <n v="5.7"/>
    <n v="998"/>
  </r>
  <r>
    <s v="519"/>
    <n v="677"/>
    <s v="nel.castanha"/>
    <s v="M"/>
    <d v="2017-11-18T00:00:00"/>
    <n v="1043"/>
    <n v="933"/>
    <s v="Cria da Fazenda"/>
    <x v="7"/>
    <m/>
    <d v="2018-07-23T00:00:00"/>
    <n v="5.63"/>
    <n v="1042"/>
  </r>
  <r>
    <s v="520"/>
    <n v="678"/>
    <s v="nel.branca"/>
    <s v="M"/>
    <d v="2017-12-04T00:00:00"/>
    <n v="1055"/>
    <n v="965"/>
    <s v="Cria da Fazenda"/>
    <x v="7"/>
    <m/>
    <d v="2018-07-23T00:00:00"/>
    <n v="5.63"/>
    <n v="1042"/>
  </r>
  <r>
    <s v="521"/>
    <n v="679"/>
    <s v="nel.branca"/>
    <s v="F"/>
    <d v="2017-12-08T00:00:00"/>
    <n v="1055"/>
    <n v="961"/>
    <s v="Cria da Fazenda"/>
    <x v="7"/>
    <m/>
    <d v="2018-07-23T00:00:00"/>
    <n v="5.7"/>
    <n v="998"/>
  </r>
  <r>
    <s v="522"/>
    <n v="680"/>
    <s v="nel.branca"/>
    <s v="F"/>
    <d v="2017-12-20T00:00:00"/>
    <n v="1055"/>
    <n v="867"/>
    <s v="Cria da Fazenda"/>
    <x v="7"/>
    <m/>
    <d v="2018-07-23T00:00:00"/>
    <n v="5.7"/>
    <n v="998"/>
  </r>
  <r>
    <s v="523"/>
    <n v="681"/>
    <s v="nel.branca"/>
    <s v="M"/>
    <d v="2017-12-26T00:00:00"/>
    <n v="1055"/>
    <n v="859"/>
    <s v="Cria da Fazenda"/>
    <x v="7"/>
    <m/>
    <d v="2018-07-23T00:00:00"/>
    <n v="5.63"/>
    <n v="1042"/>
  </r>
  <r>
    <s v="524"/>
    <n v="682"/>
    <s v="nel.branca"/>
    <s v="M"/>
    <d v="2018-01-07T00:00:00"/>
    <n v="1043"/>
    <n v="877"/>
    <s v="Cria da Fazenda"/>
    <x v="7"/>
    <m/>
    <d v="2018-07-23T00:00:00"/>
    <n v="5.63"/>
    <n v="1042"/>
  </r>
  <r>
    <s v="525"/>
    <n v="683"/>
    <s v="nel.branca"/>
    <s v="M "/>
    <d v="2018-02-09T00:00:00"/>
    <n v="1055"/>
    <n v="956"/>
    <s v="Cria da Fazenda"/>
    <x v="7"/>
    <m/>
    <d v="2019-03-09T00:00:00"/>
    <n v="5.94"/>
    <n v="1156"/>
  </r>
  <r>
    <s v="526"/>
    <n v="684"/>
    <s v="nel.castanha"/>
    <s v="F"/>
    <d v="2018-03-01T00:00:00"/>
    <n v="1055"/>
    <n v="978"/>
    <s v="Cria da Fazenda"/>
    <x v="7"/>
    <m/>
    <d v="2019-03-09T00:00:00"/>
    <n v="5.94"/>
    <n v="1156"/>
  </r>
  <r>
    <s v="527"/>
    <n v="685"/>
    <s v="nel.branca"/>
    <s v="M"/>
    <d v="2018-03-15T00:00:00"/>
    <s v="Nelore 2"/>
    <n v="876"/>
    <s v="Cria da Fazenda"/>
    <x v="7"/>
    <m/>
    <d v="2019-03-09T00:00:00"/>
    <n v="5.94"/>
    <n v="1156"/>
  </r>
  <r>
    <s v="528"/>
    <n v="686"/>
    <s v="nel.castanha"/>
    <s v="F"/>
    <d v="2018-03-19T00:00:00"/>
    <s v="Nelore 2"/>
    <n v="934"/>
    <s v="Cria da Fazenda"/>
    <x v="7"/>
    <m/>
    <d v="2019-03-09T00:00:00"/>
    <n v="5.94"/>
    <n v="1156"/>
  </r>
  <r>
    <s v="529"/>
    <n v="687"/>
    <s v="nel.branca"/>
    <s v="M"/>
    <d v="2018-03-25T00:00:00"/>
    <s v="Nelore 2"/>
    <n v="869"/>
    <s v="Cria da Fazenda"/>
    <x v="7"/>
    <m/>
    <d v="2019-03-09T00:00:00"/>
    <n v="5.94"/>
    <n v="1156"/>
  </r>
  <r>
    <s v="530"/>
    <n v="688"/>
    <s v="nel.branca"/>
    <s v="M"/>
    <d v="2018-03-30T00:00:00"/>
    <s v="Nelore 2"/>
    <n v="899"/>
    <s v="Cria da Fazenda"/>
    <x v="7"/>
    <m/>
    <d v="2019-03-09T00:00:00"/>
    <n v="5.94"/>
    <n v="1156"/>
  </r>
  <r>
    <s v="531"/>
    <n v="689"/>
    <s v="nel.castanha"/>
    <s v="F"/>
    <d v="2018-04-22T00:00:00"/>
    <n v="1055"/>
    <n v="898"/>
    <s v="Cria da Fazenda"/>
    <x v="7"/>
    <m/>
    <d v="2019-03-09T00:00:00"/>
    <n v="5.94"/>
    <n v="1156"/>
  </r>
  <r>
    <s v="532"/>
    <n v="690"/>
    <s v="nel.castanha"/>
    <s v="F"/>
    <d v="2018-04-26T00:00:00"/>
    <s v="Nelore 2"/>
    <n v="875"/>
    <s v="Cria da Fazenda"/>
    <x v="7"/>
    <m/>
    <d v="2019-03-09T00:00:00"/>
    <n v="5.94"/>
    <n v="1156"/>
  </r>
  <r>
    <s v="533"/>
    <n v="691"/>
    <s v="nel.branca"/>
    <s v="M"/>
    <d v="2018-04-28T00:00:00"/>
    <n v="1055"/>
    <n v="949"/>
    <s v="Cria da Fazenda"/>
    <x v="7"/>
    <m/>
    <d v="2019-03-09T00:00:00"/>
    <n v="5.94"/>
    <n v="1156"/>
  </r>
  <r>
    <s v="534"/>
    <n v="692"/>
    <s v="nel.branca"/>
    <s v="M"/>
    <d v="2018-05-08T00:00:00"/>
    <n v="1055"/>
    <n v="980"/>
    <s v="Cria da Fazenda"/>
    <x v="7"/>
    <m/>
    <d v="2019-03-09T00:00:00"/>
    <n v="5.94"/>
    <n v="1156"/>
  </r>
  <r>
    <s v="535"/>
    <n v="693"/>
    <s v="nel.branca"/>
    <s v="F"/>
    <d v="2018-06-01T00:00:00"/>
    <n v="1043"/>
    <n v="926"/>
    <s v="Cria da Fazenda"/>
    <x v="7"/>
    <m/>
    <d v="2019-03-09T00:00:00"/>
    <n v="5.94"/>
    <n v="1156"/>
  </r>
  <r>
    <s v="536"/>
    <n v="694"/>
    <s v="nel.branca"/>
    <s v="F"/>
    <d v="2018-06-12T00:00:00"/>
    <n v="1043"/>
    <n v="886"/>
    <s v="Cria da Fazenda"/>
    <x v="7"/>
    <m/>
    <d v="2019-03-09T00:00:00"/>
    <n v="5.94"/>
    <n v="1156"/>
  </r>
  <r>
    <s v="537"/>
    <n v="695"/>
    <s v="nel.branca"/>
    <s v="F"/>
    <d v="2018-07-01T00:00:00"/>
    <s v="Nelore 2"/>
    <n v="990"/>
    <s v="Cria da Fazenda"/>
    <x v="7"/>
    <m/>
    <d v="2019-03-09T00:00:00"/>
    <n v="5.94"/>
    <n v="1156"/>
  </r>
  <r>
    <s v="538"/>
    <n v="696"/>
    <s v="nel.branca"/>
    <s v="F"/>
    <d v="2018-07-07T00:00:00"/>
    <n v="1043"/>
    <n v="945"/>
    <s v="Cria da Fazenda"/>
    <x v="7"/>
    <m/>
    <d v="2019-03-09T00:00:00"/>
    <n v="5.94"/>
    <n v="1156"/>
  </r>
  <r>
    <s v="539"/>
    <n v="697"/>
    <s v="nel.branca"/>
    <s v="M"/>
    <d v="2018-07-16T00:00:00"/>
    <n v="1043"/>
    <n v="957"/>
    <s v="Cria da Fazenda"/>
    <x v="7"/>
    <m/>
    <d v="2019-03-09T00:00:00"/>
    <n v="5.94"/>
    <n v="1156"/>
  </r>
  <r>
    <s v="540"/>
    <n v="698"/>
    <s v="nel.castanha"/>
    <s v="F"/>
    <d v="2018-07-17T00:00:00"/>
    <n v="1043"/>
    <n v="967"/>
    <s v="Cria da Fazenda"/>
    <x v="7"/>
    <m/>
    <d v="2019-03-09T00:00:00"/>
    <n v="5.94"/>
    <n v="1156"/>
  </r>
  <r>
    <s v="541"/>
    <n v="699"/>
    <s v="nel.castanha"/>
    <s v="F"/>
    <d v="2018-07-20T00:00:00"/>
    <n v="1055"/>
    <n v="931"/>
    <s v="Cria da Fazenda"/>
    <x v="7"/>
    <m/>
    <d v="2019-03-09T00:00:00"/>
    <n v="5.94"/>
    <n v="1156"/>
  </r>
  <r>
    <s v="542"/>
    <n v="700"/>
    <s v="nel.castanha"/>
    <s v="M"/>
    <d v="2018-07-23T00:00:00"/>
    <n v="1043"/>
    <n v="944"/>
    <s v="Cria da Fazenda"/>
    <x v="7"/>
    <m/>
    <d v="2019-03-09T00:00:00"/>
    <n v="5.94"/>
    <n v="1156"/>
  </r>
  <r>
    <s v="543"/>
    <n v="701"/>
    <s v="nel.castanha"/>
    <s v="F"/>
    <d v="2018-07-23T00:00:00"/>
    <s v="Nelore 2"/>
    <n v="881"/>
    <s v="Cria da Fazenda"/>
    <x v="7"/>
    <m/>
    <d v="2019-03-09T00:00:00"/>
    <n v="5.94"/>
    <n v="1156"/>
  </r>
  <r>
    <s v="544"/>
    <n v="702"/>
    <s v="nel.branca"/>
    <s v="F"/>
    <d v="2018-07-25T00:00:00"/>
    <n v="1043"/>
    <n v="964"/>
    <s v="Cria da Fazenda"/>
    <x v="7"/>
    <m/>
    <d v="2019-03-09T00:00:00"/>
    <n v="5.94"/>
    <n v="1156"/>
  </r>
  <r>
    <s v="545"/>
    <n v="703"/>
    <s v="nel.castanha"/>
    <s v="M"/>
    <d v="2018-07-27T00:00:00"/>
    <n v="1055"/>
    <n v="966"/>
    <s v="Cria da Fazenda"/>
    <x v="7"/>
    <m/>
    <d v="2019-03-09T00:00:00"/>
    <n v="5.94"/>
    <n v="1156"/>
  </r>
  <r>
    <s v="546"/>
    <n v="704"/>
    <s v="nel.branca"/>
    <s v="F"/>
    <d v="2018-07-30T00:00:00"/>
    <n v="1043"/>
    <n v="880"/>
    <s v="Cria da Fazenda"/>
    <x v="7"/>
    <m/>
    <d v="2019-03-09T00:00:00"/>
    <n v="5.94"/>
    <n v="1156"/>
  </r>
  <r>
    <s v="547"/>
    <n v="705"/>
    <s v="nel.castanha"/>
    <s v="F"/>
    <d v="2018-07-30T00:00:00"/>
    <n v="1055"/>
    <n v="973"/>
    <s v="Cria da Fazenda"/>
    <x v="7"/>
    <m/>
    <d v="2019-03-09T00:00:00"/>
    <n v="5.94"/>
    <n v="1156"/>
  </r>
  <r>
    <s v="548"/>
    <n v="706"/>
    <s v="nel.castanha"/>
    <s v="F"/>
    <d v="2018-08-05T00:00:00"/>
    <n v="1055"/>
    <n v="992"/>
    <s v="Cria da Fazenda"/>
    <x v="7"/>
    <m/>
    <d v="2019-03-09T00:00:00"/>
    <n v="5.94"/>
    <n v="1156"/>
  </r>
  <r>
    <s v="549"/>
    <n v="707"/>
    <s v="nel.branca"/>
    <s v="M"/>
    <d v="2018-08-09T00:00:00"/>
    <n v="1043"/>
    <n v="958"/>
    <s v="Cria da Fazenda"/>
    <x v="7"/>
    <m/>
    <d v="2019-03-09T00:00:00"/>
    <n v="5.94"/>
    <n v="1156"/>
  </r>
  <r>
    <s v="550"/>
    <n v="708"/>
    <s v="nel.castanha"/>
    <s v="F"/>
    <d v="2018-08-17T00:00:00"/>
    <n v="1055"/>
    <n v="893"/>
    <s v="Cria da Fazenda"/>
    <x v="7"/>
    <m/>
    <d v="2019-03-09T00:00:00"/>
    <n v="5.94"/>
    <n v="1156"/>
  </r>
  <r>
    <s v="551"/>
    <n v="709"/>
    <s v="nel.castanha"/>
    <s v="F"/>
    <d v="2018-08-17T00:00:00"/>
    <n v="1043"/>
    <n v="884"/>
    <s v="Cria da Fazenda"/>
    <x v="7"/>
    <m/>
    <d v="2019-03-09T00:00:00"/>
    <n v="5.94"/>
    <n v="1156"/>
  </r>
  <r>
    <s v="552"/>
    <n v="710"/>
    <s v="nel.castanha"/>
    <s v="F"/>
    <d v="2018-08-17T00:00:00"/>
    <n v="1043"/>
    <n v="959"/>
    <s v="Cria da Fazenda"/>
    <x v="7"/>
    <m/>
    <d v="2019-03-09T00:00:00"/>
    <n v="5.94"/>
    <n v="1156"/>
  </r>
  <r>
    <s v="553"/>
    <n v="711"/>
    <s v="nel.branca"/>
    <s v="M"/>
    <d v="2018-08-19T00:00:00"/>
    <n v="1055"/>
    <n v="873"/>
    <s v="Cria da Fazenda"/>
    <x v="7"/>
    <m/>
    <d v="2019-03-09T00:00:00"/>
    <n v="5.94"/>
    <n v="1156"/>
  </r>
  <r>
    <s v="554"/>
    <n v="712"/>
    <s v="nel.branca"/>
    <s v="M"/>
    <d v="2018-08-22T00:00:00"/>
    <n v="1055"/>
    <n v="943"/>
    <s v="Cria da Fazenda"/>
    <x v="7"/>
    <m/>
    <d v="2019-03-09T00:00:00"/>
    <n v="5.94"/>
    <n v="1156"/>
  </r>
  <r>
    <s v="555"/>
    <n v="713"/>
    <s v="nel.branca"/>
    <s v="F"/>
    <d v="2018-08-24T00:00:00"/>
    <n v="1043"/>
    <n v="986"/>
    <s v="Cria da Fazenda"/>
    <x v="7"/>
    <m/>
    <d v="2019-03-09T00:00:00"/>
    <n v="5.94"/>
    <n v="1156"/>
  </r>
  <r>
    <s v="556"/>
    <n v="714"/>
    <s v="nel.branca"/>
    <s v="F"/>
    <d v="2018-08-25T00:00:00"/>
    <n v="1055"/>
    <n v="936"/>
    <s v="Cria da Fazenda"/>
    <x v="7"/>
    <m/>
    <d v="2019-10-07T00:00:00"/>
    <n v="5.65"/>
    <n v="1122"/>
  </r>
  <r>
    <s v="557"/>
    <n v="715"/>
    <s v="nel.branca"/>
    <s v="M"/>
    <d v="2018-08-26T00:00:00"/>
    <n v="1055"/>
    <n v="889"/>
    <s v="Cria da Fazenda"/>
    <x v="7"/>
    <m/>
    <d v="2019-03-09T00:00:00"/>
    <n v="5.94"/>
    <n v="1156"/>
  </r>
  <r>
    <s v="558"/>
    <n v="716"/>
    <s v="nel.branca"/>
    <s v="F"/>
    <d v="2018-08-28T00:00:00"/>
    <n v="1043"/>
    <n v="981"/>
    <s v="Cria da Fazenda"/>
    <x v="7"/>
    <m/>
    <d v="2019-10-07T00:00:00"/>
    <n v="5.65"/>
    <s v="    1,111,00"/>
  </r>
  <r>
    <s v="559"/>
    <n v="717"/>
    <s v="nel.branca"/>
    <s v="F"/>
    <d v="2018-08-29T00:00:00"/>
    <n v="1055"/>
    <n v="897"/>
    <s v="Cria da Fazenda"/>
    <x v="7"/>
    <m/>
    <d v="2019-10-07T00:00:00"/>
    <n v="5.65"/>
    <n v="1111"/>
  </r>
  <r>
    <s v="560"/>
    <n v="718"/>
    <s v="nel.branca"/>
    <s v="M"/>
    <d v="2018-08-30T00:00:00"/>
    <n v="1055"/>
    <n v="969"/>
    <s v="Cria da Fazenda"/>
    <x v="7"/>
    <m/>
    <d v="2019-03-09T00:00:00"/>
    <n v="5.94"/>
    <n v="1156"/>
  </r>
  <r>
    <s v="561"/>
    <n v="719"/>
    <s v="nel.branca"/>
    <s v="M"/>
    <d v="2018-09-04T00:00:00"/>
    <n v="1055"/>
    <n v="870"/>
    <s v="Cria da Fazenda"/>
    <x v="7"/>
    <m/>
    <d v="2019-03-09T00:00:00"/>
    <n v="5.94"/>
    <n v="1156"/>
  </r>
  <r>
    <s v="562"/>
    <n v="720"/>
    <s v="nel.branca"/>
    <s v="M"/>
    <d v="2018-09-16T00:00:00"/>
    <n v="1055"/>
    <n v="942"/>
    <s v="Cria da Fazenda"/>
    <x v="7"/>
    <m/>
    <d v="2019-03-09T00:00:00"/>
    <n v="5.94"/>
    <n v="1156"/>
  </r>
  <r>
    <s v="563"/>
    <n v="721"/>
    <s v="nel.branca"/>
    <s v="M"/>
    <d v="2018-09-22T00:00:00"/>
    <n v="1055"/>
    <n v="862"/>
    <s v="Cria da Fazenda"/>
    <x v="7"/>
    <m/>
    <d v="2019-10-07T00:00:00"/>
    <n v="5.65"/>
    <n v="1111"/>
  </r>
  <r>
    <s v="564"/>
    <n v="722"/>
    <s v="nel.castanha"/>
    <s v="M"/>
    <d v="2018-09-22T00:00:00"/>
    <s v="Nelore 2"/>
    <n v="939"/>
    <s v="Cria da Fazenda"/>
    <x v="7"/>
    <m/>
    <d v="2019-10-07T00:00:00"/>
    <n v="5.65"/>
    <n v="1111"/>
  </r>
  <r>
    <s v="565"/>
    <n v="723"/>
    <s v="nel.castanha"/>
    <s v="M "/>
    <d v="2018-09-29T00:00:00"/>
    <n v="1055"/>
    <n v="972"/>
    <s v="Cria da Fazenda"/>
    <x v="7"/>
    <m/>
    <d v="2019-10-07T00:00:00"/>
    <n v="5.65"/>
    <n v="1111"/>
  </r>
  <r>
    <s v="566"/>
    <n v="724"/>
    <s v="nel.branca"/>
    <s v="F"/>
    <d v="2018-10-08T00:00:00"/>
    <n v="1043"/>
    <n v="983"/>
    <s v="Cria da Fazenda"/>
    <x v="7"/>
    <m/>
    <d v="2019-10-07T00:00:00"/>
    <n v="5.65"/>
    <n v="1111"/>
  </r>
  <r>
    <s v="567"/>
    <n v="725"/>
    <s v="nel.branca"/>
    <s v="M"/>
    <d v="2018-10-11T00:00:00"/>
    <s v="Nelore 2"/>
    <n v="987"/>
    <s v="Cria da Fazenda"/>
    <x v="7"/>
    <m/>
    <d v="2019-10-07T00:00:00"/>
    <n v="5.65"/>
    <n v="1111"/>
  </r>
  <r>
    <s v="568"/>
    <n v="726"/>
    <s v="nel.branca"/>
    <s v="M"/>
    <d v="2018-10-17T00:00:00"/>
    <n v="1043"/>
    <n v="950"/>
    <s v="Cria da Fazenda"/>
    <x v="7"/>
    <m/>
    <d v="2019-10-07T00:00:00"/>
    <n v="5.65"/>
    <n v="1111"/>
  </r>
  <r>
    <s v="569"/>
    <n v="727"/>
    <s v="nel.branca"/>
    <s v="M"/>
    <d v="2018-10-26T00:00:00"/>
    <n v="1055"/>
    <n v="863"/>
    <s v="Cria da Fazenda"/>
    <x v="7"/>
    <m/>
    <d v="2019-10-07T00:00:00"/>
    <n v="5.65"/>
    <n v="1111"/>
  </r>
  <r>
    <s v="570"/>
    <n v="728"/>
    <s v="nel.branca"/>
    <s v="M"/>
    <d v="2018-10-29T00:00:00"/>
    <s v="Nelore 2"/>
    <n v="946"/>
    <s v="Cria da Fazenda"/>
    <x v="7"/>
    <m/>
    <d v="2019-10-07T00:00:00"/>
    <n v="5.65"/>
    <n v="1111"/>
  </r>
  <r>
    <s v="571"/>
    <n v="729"/>
    <s v="nel.branca"/>
    <s v="F"/>
    <d v="2018-11-03T00:00:00"/>
    <n v="1055"/>
    <n v="976"/>
    <s v="Cria da Fazenda"/>
    <x v="7"/>
    <m/>
    <d v="2019-10-07T00:00:00"/>
    <n v="5.65"/>
    <n v="1111"/>
  </r>
  <r>
    <s v="572"/>
    <n v="730"/>
    <s v="nel.branca"/>
    <s v="M"/>
    <d v="2018-11-06T00:00:00"/>
    <n v="1055"/>
    <n v="894"/>
    <s v="Cria da Fazenda"/>
    <x v="7"/>
    <m/>
    <d v="2019-10-07T00:00:00"/>
    <n v="5.65"/>
    <n v="1111"/>
  </r>
  <r>
    <s v="573"/>
    <n v="731"/>
    <s v="nel.branca"/>
    <s v="M"/>
    <d v="2018-11-07T00:00:00"/>
    <n v="1055"/>
    <n v="947"/>
    <s v="Cria da Fazenda"/>
    <x v="7"/>
    <m/>
    <d v="2019-10-07T00:00:00"/>
    <n v="5.65"/>
    <n v="1111"/>
  </r>
  <r>
    <s v="574"/>
    <n v="732"/>
    <s v="nel.branca"/>
    <s v="F"/>
    <d v="2018-11-07T00:00:00"/>
    <n v="1043"/>
    <n v="979"/>
    <s v="Cria da Fazenda"/>
    <x v="7"/>
    <m/>
    <d v="2019-10-07T00:00:00"/>
    <n v="5.65"/>
    <n v="1111"/>
  </r>
  <r>
    <s v="575"/>
    <n v="733"/>
    <s v="nel.castanha"/>
    <s v="M"/>
    <d v="2018-11-13T00:00:00"/>
    <n v="1043"/>
    <n v="930"/>
    <s v="Cria da Fazenda"/>
    <x v="7"/>
    <m/>
    <d v="2019-10-07T00:00:00"/>
    <n v="5.65"/>
    <n v="1111"/>
  </r>
  <r>
    <s v="576"/>
    <n v="734"/>
    <s v="nel.branca"/>
    <s v="F"/>
    <d v="2018-11-15T00:00:00"/>
    <n v="1055"/>
    <n v="974"/>
    <s v="Cria da Fazenda"/>
    <x v="7"/>
    <m/>
    <d v="2019-10-07T00:00:00"/>
    <n v="5.65"/>
    <n v="1111"/>
  </r>
  <r>
    <s v="577"/>
    <n v="735"/>
    <s v="nel.castanha"/>
    <s v="F"/>
    <d v="2018-11-16T00:00:00"/>
    <n v="1055"/>
    <n v="954"/>
    <s v="Cria da Fazenda"/>
    <x v="7"/>
    <m/>
    <d v="2019-10-07T00:00:00"/>
    <n v="5.65"/>
    <n v="1111"/>
  </r>
  <r>
    <s v="578"/>
    <n v="736"/>
    <s v="nel.branca"/>
    <s v="F"/>
    <d v="2018-11-18T00:00:00"/>
    <n v="1055"/>
    <n v="858"/>
    <s v="Cria da Fazenda"/>
    <x v="7"/>
    <m/>
    <d v="2019-10-07T00:00:00"/>
    <n v="5.65"/>
    <n v="1111"/>
  </r>
  <r>
    <s v="579"/>
    <n v="737"/>
    <s v="nel.castanha"/>
    <s v="M"/>
    <d v="2018-11-18T00:00:00"/>
    <n v="1043"/>
    <n v="865"/>
    <s v="Cria da Fazenda"/>
    <x v="7"/>
    <m/>
    <d v="2019-10-07T00:00:00"/>
    <n v="5.65"/>
    <n v="1111"/>
  </r>
  <r>
    <s v="580"/>
    <n v="738"/>
    <s v="nel.branca"/>
    <s v="M"/>
    <d v="2018-11-18T00:00:00"/>
    <n v="1043"/>
    <n v="874"/>
    <s v="Cria da Fazenda"/>
    <x v="7"/>
    <m/>
    <d v="2019-10-07T00:00:00"/>
    <n v="5.65"/>
    <n v="1111"/>
  </r>
  <r>
    <s v="581"/>
    <n v="739"/>
    <s v="nel.castanha"/>
    <s v="M"/>
    <d v="2018-11-19T00:00:00"/>
    <n v="1043"/>
    <n v="871"/>
    <s v="Cria da Fazenda"/>
    <x v="7"/>
    <m/>
    <d v="2019-10-07T00:00:00"/>
    <n v="5.65"/>
    <n v="1111"/>
  </r>
  <r>
    <s v="582"/>
    <n v="740"/>
    <s v="nel.castanha"/>
    <s v="M"/>
    <d v="2018-11-27T00:00:00"/>
    <n v="1043"/>
    <n v="963"/>
    <s v="Cria da Fazenda"/>
    <x v="7"/>
    <m/>
    <d v="2019-10-07T00:00:00"/>
    <n v="5.65"/>
    <n v="1111"/>
  </r>
  <r>
    <s v="583"/>
    <n v="741"/>
    <s v="nel.castanha"/>
    <s v="F"/>
    <d v="2018-11-27T00:00:00"/>
    <n v="1055"/>
    <n v="965"/>
    <s v="Cria da Fazenda"/>
    <x v="7"/>
    <m/>
    <d v="2019-10-07T00:00:00"/>
    <n v="5.65"/>
    <n v="1111"/>
  </r>
  <r>
    <s v="584"/>
    <n v="742"/>
    <s v="nel.castanha"/>
    <s v="F"/>
    <d v="2018-11-29T00:00:00"/>
    <n v="1043"/>
    <n v="993"/>
    <s v="Cria da Fazenda"/>
    <x v="7"/>
    <m/>
    <d v="2019-10-07T00:00:00"/>
    <s v="            5.65"/>
    <n v="1111"/>
  </r>
  <r>
    <s v="585"/>
    <n v="743"/>
    <s v="nel.castanha"/>
    <s v="M"/>
    <d v="2018-12-06T00:00:00"/>
    <n v="1055"/>
    <n v="984"/>
    <s v="Cria da Fazenda"/>
    <x v="7"/>
    <m/>
    <d v="2019-10-07T00:00:00"/>
    <n v="5.65"/>
    <n v="1111"/>
  </r>
  <r>
    <s v="586"/>
    <s v="S/R"/>
    <s v="nel.castanha"/>
    <s v="F"/>
    <d v="2018-12-09T00:00:00"/>
    <s v="Nelore 2"/>
    <n v="890"/>
    <s v="Cria da Fazenda"/>
    <x v="1"/>
    <s v="Nasceu morto"/>
    <s v="xxxxx"/>
    <s v="xxxxx"/>
    <s v="xxxxx"/>
  </r>
  <r>
    <s v="587"/>
    <n v="744"/>
    <s v="nel.branca"/>
    <s v="M"/>
    <d v="2018-12-09T00:00:00"/>
    <n v="1043"/>
    <n v="860"/>
    <s v="Cria da Fazenda"/>
    <x v="7"/>
    <m/>
    <d v="2019-10-07T00:00:00"/>
    <s v="            5.65"/>
    <n v="1111"/>
  </r>
  <r>
    <s v="588"/>
    <n v="745"/>
    <s v="nel.branca"/>
    <s v="M"/>
    <d v="2018-12-11T00:00:00"/>
    <s v="Nelore 2"/>
    <n v="977"/>
    <s v="Cria da Fazenda"/>
    <x v="7"/>
    <m/>
    <d v="2019-10-07T00:00:00"/>
    <n v="5.65"/>
    <n v="1111"/>
  </r>
  <r>
    <s v="589"/>
    <n v="746"/>
    <s v="nel.castanha"/>
    <s v="M"/>
    <d v="2018-12-17T00:00:00"/>
    <n v="1055"/>
    <n v="933"/>
    <s v="Cria da Fazenda"/>
    <x v="7"/>
    <m/>
    <d v="2019-10-07T00:00:00"/>
    <n v="5.65"/>
    <n v="1111"/>
  </r>
  <r>
    <s v="590"/>
    <n v="747"/>
    <s v="nel.branca"/>
    <s v="F"/>
    <d v="2018-12-28T00:00:00"/>
    <n v="1043"/>
    <n v="991"/>
    <s v="Cria da Fazenda"/>
    <x v="7"/>
    <m/>
    <d v="2019-10-07T00:00:00"/>
    <n v="5.65"/>
    <n v="1111"/>
  </r>
  <r>
    <s v="591"/>
    <n v="748"/>
    <s v="nel.branca"/>
    <s v="F"/>
    <d v="2018-12-30T00:00:00"/>
    <n v="1055"/>
    <n v="854"/>
    <s v="Cria da Fazenda"/>
    <x v="7"/>
    <m/>
    <d v="2019-10-07T00:00:00"/>
    <n v="5.65"/>
    <n v="1111"/>
  </r>
  <r>
    <s v="592"/>
    <n v="749"/>
    <s v="nel.branca"/>
    <s v="M"/>
    <d v="2019-01-07T00:00:00"/>
    <s v="Nelore 2"/>
    <n v="985"/>
    <s v="Cria da Fazenda"/>
    <x v="7"/>
    <m/>
    <d v="2019-10-07T00:00:00"/>
    <n v="5.65"/>
    <n v="1111"/>
  </r>
  <r>
    <s v="593"/>
    <n v="750"/>
    <s v="nel.branca"/>
    <s v="M"/>
    <d v="2019-01-11T00:00:00"/>
    <s v="Nelore 2"/>
    <n v="896"/>
    <s v="Cria da Fazenda"/>
    <x v="7"/>
    <m/>
    <d v="2019-10-07T00:00:00"/>
    <n v="5.65"/>
    <n v="1111"/>
  </r>
  <r>
    <s v="594"/>
    <n v="751"/>
    <s v="nel.castanha"/>
    <s v="M"/>
    <d v="2019-01-21T00:00:00"/>
    <n v="1043"/>
    <n v="989"/>
    <s v="Cria da Fazenda"/>
    <x v="7"/>
    <m/>
    <d v="2019-10-07T00:00:00"/>
    <n v="5.65"/>
    <n v="1111"/>
  </r>
  <r>
    <s v="595"/>
    <n v="752"/>
    <s v="nel.branca"/>
    <s v="M"/>
    <d v="2019-01-22T00:00:00"/>
    <n v="1055"/>
    <n v="867"/>
    <s v="Cria da Fazenda"/>
    <x v="7"/>
    <m/>
    <d v="2019-10-07T00:00:00"/>
    <n v="5.65"/>
    <n v="1111"/>
  </r>
  <r>
    <s v="596"/>
    <n v="753"/>
    <s v="nel.branca"/>
    <s v="M"/>
    <d v="2019-01-23T00:00:00"/>
    <s v="Nelore 2"/>
    <n v="988"/>
    <s v="Cria da Fazenda"/>
    <x v="7"/>
    <m/>
    <d v="2019-10-07T00:00:00"/>
    <n v="5.65"/>
    <n v="1111"/>
  </r>
  <r>
    <s v="597"/>
    <n v="754"/>
    <s v="nel.castanha"/>
    <s v="F"/>
    <d v="2019-02-06T00:00:00"/>
    <s v="Nelore 2"/>
    <n v="872"/>
    <s v="Cria da Fazenda"/>
    <x v="1"/>
    <s v="morreu em 28/02/19 devido"/>
    <s v="a problema"/>
    <s v="de visao"/>
    <s v="xxxxx"/>
  </r>
  <r>
    <s v="598"/>
    <n v="755"/>
    <s v="nel.castanha"/>
    <s v="F"/>
    <d v="2019-02-21T00:00:00"/>
    <s v="Nelore 2"/>
    <n v="876"/>
    <s v="Cria da Fazenda"/>
    <x v="7"/>
    <m/>
    <d v="2019-10-07T00:00:00"/>
    <n v="5.65"/>
    <n v="1111"/>
  </r>
  <r>
    <s v="599"/>
    <n v="756"/>
    <s v="nel.castanha"/>
    <s v="M"/>
    <d v="2020-02-29T00:00:00"/>
    <s v="Nelore 2"/>
    <n v="885"/>
    <s v="Cria da Fazenda"/>
    <x v="7"/>
    <m/>
    <d v="2019-10-07T00:00:00"/>
    <n v="5.65"/>
    <n v="1111"/>
  </r>
  <r>
    <s v="600"/>
    <n v="757"/>
    <s v="nel.branca"/>
    <s v="F"/>
    <d v="2019-02-27T00:00:00"/>
    <n v="1055"/>
    <n v="882"/>
    <s v="Cria da Fazenda"/>
    <x v="7"/>
    <m/>
    <d v="2019-10-07T00:00:00"/>
    <n v="5.65"/>
    <s v="    1.111.00"/>
  </r>
  <r>
    <s v="601"/>
    <n v="758"/>
    <s v="nel.castanha"/>
    <s v="M"/>
    <d v="2019-03-30T00:00:00"/>
    <n v="1055"/>
    <n v="978"/>
    <s v="Cria da Fazenda"/>
    <x v="7"/>
    <m/>
    <d v="2019-10-07T00:00:00"/>
    <n v="5.65"/>
    <n v="1111"/>
  </r>
  <r>
    <s v="602"/>
    <n v="759"/>
    <s v="nel.branca"/>
    <s v="F"/>
    <d v="2019-04-02T00:00:00"/>
    <s v="Nelore 2"/>
    <n v="898"/>
    <s v="Cria da Fazenda"/>
    <x v="5"/>
    <m/>
    <d v="2020-07-29T00:00:00"/>
    <n v="5.03"/>
    <n v="1542"/>
  </r>
  <r>
    <s v="603"/>
    <n v="760"/>
    <s v="nel.branca"/>
    <s v="M"/>
    <d v="2019-04-08T00:00:00"/>
    <n v="1055"/>
    <n v="980"/>
    <s v="Cria da Fazenda"/>
    <x v="5"/>
    <m/>
    <d v="2020-07-29T00:00:00"/>
    <n v="5.03"/>
    <n v="1527"/>
  </r>
  <r>
    <s v="604"/>
    <n v="761"/>
    <s v="nel.branca"/>
    <s v="M"/>
    <d v="2019-05-02T00:00:00"/>
    <n v="1055"/>
    <n v="961"/>
    <s v="Cria da Fazenda"/>
    <x v="5"/>
    <m/>
    <d v="2020-07-29T00:00:00"/>
    <n v="5.03"/>
    <n v="1527"/>
  </r>
  <r>
    <s v="605"/>
    <n v="762"/>
    <s v="nel.branca"/>
    <s v="M"/>
    <d v="2019-05-19T00:00:00"/>
    <n v="1055"/>
    <n v="899"/>
    <s v="Cria da Fazenda"/>
    <x v="5"/>
    <m/>
    <d v="2020-07-29T00:00:00"/>
    <n v="5.03"/>
    <n v="1527"/>
  </r>
  <r>
    <s v="606"/>
    <n v="763"/>
    <s v="nel.branca"/>
    <s v="F "/>
    <d v="2019-06-09T00:00:00"/>
    <s v="Nelore 2"/>
    <n v="877"/>
    <s v="Cria da Fazenda"/>
    <x v="5"/>
    <m/>
    <d v="2020-07-29T00:00:00"/>
    <n v="5.03"/>
    <n v="1527"/>
  </r>
  <r>
    <s v="607"/>
    <n v="764"/>
    <s v="nel.branca"/>
    <s v="F"/>
    <d v="2019-06-11T00:00:00"/>
    <n v="1055"/>
    <n v="859"/>
    <s v="Cria da Fazenda"/>
    <x v="5"/>
    <m/>
    <d v="2020-07-29T00:00:00"/>
    <n v="5.03"/>
    <n v="1527"/>
  </r>
  <r>
    <s v="608"/>
    <n v="765"/>
    <s v="nel.castanha"/>
    <s v="M"/>
    <d v="2019-06-20T00:00:00"/>
    <s v="Nelore 2"/>
    <n v="934"/>
    <s v="Cria da Fazenda"/>
    <x v="5"/>
    <m/>
    <d v="2020-07-29T00:00:00"/>
    <n v="5.03"/>
    <n v="1527"/>
  </r>
  <r>
    <s v="609"/>
    <n v="766"/>
    <s v="nel.branca"/>
    <s v="F"/>
    <d v="2019-06-25T00:00:00"/>
    <s v="Nelore 2"/>
    <n v="886"/>
    <s v="Cria da Fazenda"/>
    <x v="8"/>
    <m/>
    <d v="2020-03-13T00:00:00"/>
    <n v="5.95"/>
    <n v="1250"/>
  </r>
  <r>
    <s v="610"/>
    <n v="767"/>
    <s v="nel.branca"/>
    <s v="F"/>
    <d v="2019-06-30T00:00:00"/>
    <n v="1055"/>
    <n v="926"/>
    <s v="Cria da Fazenda"/>
    <x v="5"/>
    <m/>
    <d v="2020-07-29T00:00:00"/>
    <n v="5.03"/>
    <n v="1527"/>
  </r>
  <r>
    <s v="611"/>
    <n v="768"/>
    <s v="nel.branca"/>
    <s v="M"/>
    <d v="2019-07-04T00:00:00"/>
    <n v="1043"/>
    <n v="964"/>
    <s v="Cria da Fazenda"/>
    <x v="5"/>
    <m/>
    <d v="2020-07-29T00:00:00"/>
    <n v="5.03"/>
    <n v="1527"/>
  </r>
  <r>
    <s v="612"/>
    <n v="769"/>
    <s v="nel.branca"/>
    <s v="F"/>
    <d v="2019-07-24T00:00:00"/>
    <s v="Nelore 2"/>
    <n v="957"/>
    <s v="Cria da Fazenda"/>
    <x v="5"/>
    <m/>
    <d v="2020-07-29T00:00:00"/>
    <n v="5.03"/>
    <n v="1527"/>
  </r>
  <r>
    <s v="613"/>
    <n v="770"/>
    <s v="nel.castanha"/>
    <s v="F"/>
    <d v="2019-07-24T00:00:00"/>
    <n v="1043"/>
    <n v="868"/>
    <s v="Cria da Fazenda"/>
    <x v="5"/>
    <m/>
    <d v="2020-07-29T00:00:00"/>
    <n v="5.03"/>
    <n v="1527"/>
  </r>
  <r>
    <s v="614"/>
    <n v="771"/>
    <s v="nel.castanha"/>
    <s v="M"/>
    <d v="2019-07-24T00:00:00"/>
    <s v="Nelore 2"/>
    <n v="944"/>
    <s v="Cria da Fazenda"/>
    <x v="5"/>
    <m/>
    <d v="2020-07-29T00:00:00"/>
    <n v="5.03"/>
    <n v="1527"/>
  </r>
  <r>
    <s v="615"/>
    <n v="772"/>
    <s v="nel.branca"/>
    <s v="F"/>
    <d v="2019-07-30T00:00:00"/>
    <n v="1055"/>
    <n v="949"/>
    <s v="Cria da Fazenda"/>
    <x v="5"/>
    <m/>
    <d v="2020-07-29T00:00:00"/>
    <n v="5.03"/>
    <n v="1527"/>
  </r>
  <r>
    <s v="616"/>
    <n v="773"/>
    <s v="nel.branca"/>
    <s v="F"/>
    <d v="2019-08-01T00:00:00"/>
    <n v="1055"/>
    <n v="875"/>
    <s v="Cria da Fazenda"/>
    <x v="5"/>
    <m/>
    <d v="2020-07-29T00:00:00"/>
    <n v="5.03"/>
    <n v="1527"/>
  </r>
  <r>
    <s v="617"/>
    <n v="774"/>
    <s v="nel.branca"/>
    <s v="M"/>
    <d v="2019-08-15T00:00:00"/>
    <s v="Nelore 2"/>
    <n v="897"/>
    <s v="Cria da Fazenda"/>
    <x v="5"/>
    <m/>
    <d v="2020-07-29T00:00:00"/>
    <n v="5.03"/>
    <n v="1527"/>
  </r>
  <r>
    <s v="618"/>
    <n v="775"/>
    <s v="nel.castanha"/>
    <s v="M"/>
    <d v="2019-08-25T00:00:00"/>
    <n v="1055"/>
    <n v="870"/>
    <s v="Cria da Fazenda"/>
    <x v="5"/>
    <m/>
    <d v="2020-07-29T00:00:00"/>
    <n v="5.03"/>
    <n v="1527"/>
  </r>
  <r>
    <s v="619"/>
    <n v="776"/>
    <s v="nel.branca"/>
    <s v="F"/>
    <d v="2019-09-11T00:00:00"/>
    <n v="1055"/>
    <n v="983"/>
    <s v="Cria da Fazenda"/>
    <x v="5"/>
    <m/>
    <d v="2020-07-29T00:00:00"/>
    <n v="5.03"/>
    <n v="1527"/>
  </r>
  <r>
    <s v="620"/>
    <n v="777"/>
    <s v="nel.branca"/>
    <s v="F"/>
    <d v="2019-09-13T00:00:00"/>
    <s v="Nelore 2"/>
    <n v="956"/>
    <s v="Cria da Fazenda"/>
    <x v="5"/>
    <m/>
    <d v="2020-07-29T00:00:00"/>
    <n v="5.03"/>
    <n v="1527"/>
  </r>
  <r>
    <s v="621"/>
    <n v="778"/>
    <s v="nel.branca"/>
    <s v="F"/>
    <d v="2019-09-19T00:00:00"/>
    <s v="Nelore 2"/>
    <n v="943"/>
    <s v="Cria da Fazenda"/>
    <x v="5"/>
    <m/>
    <d v="2020-07-29T00:00:00"/>
    <n v="5.03"/>
    <n v="1527"/>
  </r>
  <r>
    <s v="622"/>
    <n v="779"/>
    <s v="nel.branca"/>
    <s v="M"/>
    <d v="2019-09-22T00:00:00"/>
    <s v="Nelore 2"/>
    <n v="958"/>
    <s v="Cria da Fazenda"/>
    <x v="5"/>
    <m/>
    <d v="2020-07-29T00:00:00"/>
    <n v="5.03"/>
    <n v="1527"/>
  </r>
  <r>
    <s v="623"/>
    <n v="780"/>
    <s v="nel.castanha"/>
    <s v="M"/>
    <d v="2019-09-26T00:00:00"/>
    <s v="Nelore 2"/>
    <n v="967"/>
    <s v="Cria da Fazenda"/>
    <x v="5"/>
    <m/>
    <d v="2020-07-29T00:00:00"/>
    <n v="5.03"/>
    <n v="1527"/>
  </r>
  <r>
    <s v="624"/>
    <n v="781"/>
    <s v="nel.branca"/>
    <s v="M"/>
    <d v="2019-09-27T00:00:00"/>
    <s v="Nelore 2"/>
    <n v="973"/>
    <s v="Cria da Fazenda"/>
    <x v="5"/>
    <m/>
    <d v="2020-07-29T00:00:00"/>
    <n v="5.03"/>
    <n v="1527"/>
  </r>
  <r>
    <s v="625"/>
    <n v="782"/>
    <s v="nel.branca"/>
    <s v="F"/>
    <d v="2019-09-28T00:00:00"/>
    <s v="nel.2"/>
    <n v="992"/>
    <s v="Cria da Fazenda"/>
    <x v="5"/>
    <m/>
    <d v="2020-07-29T00:00:00"/>
    <n v="5.03"/>
    <n v="1527"/>
  </r>
  <r>
    <s v="626"/>
    <n v="783"/>
    <s v="nel.branca"/>
    <s v="F"/>
    <d v="2019-10-03T00:00:00"/>
    <s v="Nelore 2"/>
    <n v="969"/>
    <s v="Cria da Fazenda"/>
    <x v="5"/>
    <m/>
    <d v="2020-07-29T00:00:00"/>
    <n v="5.03"/>
    <n v="1527"/>
  </r>
  <r>
    <s v="627"/>
    <n v="784"/>
    <s v="nel.castanha"/>
    <s v="M"/>
    <d v="2019-10-03T00:00:00"/>
    <s v="Nelore 2"/>
    <n v="873"/>
    <s v="Cria da Fazenda"/>
    <x v="5"/>
    <m/>
    <d v="2020-07-29T00:00:00"/>
    <n v="5.03"/>
    <n v="1527"/>
  </r>
  <r>
    <s v="628"/>
    <n v="785"/>
    <s v="nel.branca"/>
    <s v="F"/>
    <d v="2019-10-09T00:00:00"/>
    <n v="1055"/>
    <n v="966"/>
    <s v="Cria da Fazenda"/>
    <x v="5"/>
    <m/>
    <d v="2020-07-29T00:00:00"/>
    <n v="5.03"/>
    <n v="1527"/>
  </r>
  <r>
    <s v="629"/>
    <n v="786"/>
    <s v="nel.branca"/>
    <s v="M"/>
    <d v="2019-10-09T00:00:00"/>
    <n v="1055"/>
    <n v="981"/>
    <s v="Cria da Fazenda"/>
    <x v="5"/>
    <m/>
    <d v="2020-07-29T00:00:00"/>
    <n v="5.03"/>
    <n v="1527"/>
  </r>
  <r>
    <s v="630"/>
    <n v="787"/>
    <s v="nel.castanha"/>
    <s v="M"/>
    <d v="2019-10-13T00:00:00"/>
    <n v="1055"/>
    <n v="936"/>
    <s v="Cria da Fazenda"/>
    <x v="5"/>
    <m/>
    <d v="2020-07-29T00:00:00"/>
    <n v="5.03"/>
    <n v="1527"/>
  </r>
  <r>
    <s v="631"/>
    <n v="788"/>
    <s v="nel.branca"/>
    <s v="F"/>
    <d v="2019-10-14T00:00:00"/>
    <s v="Nelore 2"/>
    <n v="959"/>
    <s v="Cria da Fazenda"/>
    <x v="5"/>
    <m/>
    <d v="2020-07-29T00:00:00"/>
    <n v="5.03"/>
    <n v="1527"/>
  </r>
  <r>
    <s v="632"/>
    <n v="789"/>
    <s v="nel.castanha"/>
    <s v="F"/>
    <d v="2019-10-25T00:00:00"/>
    <s v="Nelore 2"/>
    <n v="965"/>
    <s v="Cria da Fazenda"/>
    <x v="5"/>
    <m/>
    <d v="2020-07-29T00:00:00"/>
    <n v="5.03"/>
    <n v="1527"/>
  </r>
  <r>
    <s v="633"/>
    <n v="790"/>
    <s v="nel.castanha"/>
    <s v="M"/>
    <d v="2019-10-25T00:00:00"/>
    <n v="1055"/>
    <n v="946"/>
    <s v="Cria da Fazenda"/>
    <x v="5"/>
    <m/>
    <d v="2020-07-29T00:00:00"/>
    <n v="5.03"/>
    <n v="1527"/>
  </r>
  <r>
    <s v="634"/>
    <n v="791"/>
    <s v="nel.castanha"/>
    <s v="M"/>
    <d v="2019-10-29T00:00:00"/>
    <n v="1055"/>
    <n v="987"/>
    <s v="Cria da Fazenda"/>
    <x v="5"/>
    <m/>
    <d v="2020-07-29T00:00:00"/>
    <n v="5.03"/>
    <n v="1527"/>
  </r>
  <r>
    <s v="635"/>
    <n v="792"/>
    <s v="nel.branca"/>
    <s v="M"/>
    <d v="2019-11-03T00:00:00"/>
    <n v="1055"/>
    <n v="947"/>
    <s v="Cria da Fazenda"/>
    <x v="5"/>
    <m/>
    <d v="2020-07-29T00:00:00"/>
    <n v="5.03"/>
    <n v="1527"/>
  </r>
  <r>
    <s v="636"/>
    <n v="793"/>
    <s v="nel.branca"/>
    <s v="F"/>
    <d v="2019-11-12T00:00:00"/>
    <n v="1055"/>
    <n v="880"/>
    <s v="Cria da Fazenda"/>
    <x v="5"/>
    <m/>
    <d v="2020-07-29T00:00:00"/>
    <n v="5.03"/>
    <n v="1527"/>
  </r>
  <r>
    <s v="637"/>
    <n v="794"/>
    <s v="nel.branca"/>
    <s v="M"/>
    <d v="2019-11-14T00:00:00"/>
    <n v="1055"/>
    <n v="976"/>
    <s v="Cria da Fazenda"/>
    <x v="5"/>
    <m/>
    <d v="2020-07-29T00:00:00"/>
    <n v="5.03"/>
    <n v="1527"/>
  </r>
  <r>
    <s v="638"/>
    <n v="795"/>
    <s v="nel.castanha"/>
    <s v="M"/>
    <d v="2019-11-17T00:00:00"/>
    <s v="Nelore 2"/>
    <n v="931"/>
    <s v="Cria da Fazenda"/>
    <x v="5"/>
    <m/>
    <d v="2020-07-29T00:00:00"/>
    <n v="5.03"/>
    <n v="1527"/>
  </r>
  <r>
    <s v="639"/>
    <s v="S/R"/>
    <s v="nel.castanha"/>
    <s v="F"/>
    <d v="2019-11-17T00:00:00"/>
    <n v="1055"/>
    <n v="990"/>
    <s v="Cria da Fazenda"/>
    <x v="1"/>
    <s v="nasceu no final da tarde e"/>
    <s v="axfia.presa"/>
    <s v="em ripão do "/>
    <s v="cur.á noite."/>
  </r>
  <r>
    <s v="640"/>
    <n v="796"/>
    <s v="nel.branca"/>
    <s v="F"/>
    <d v="2019-11-23T00:00:00"/>
    <n v="1055"/>
    <n v="977"/>
    <s v="Cria da Fazenda"/>
    <x v="5"/>
    <m/>
    <d v="2020-07-29T00:00:00"/>
    <n v="5.03"/>
    <n v="1527"/>
  </r>
  <r>
    <s v="641"/>
    <n v="797"/>
    <s v="nel.branca"/>
    <s v="F"/>
    <d v="2019-11-27T00:00:00"/>
    <n v="1043"/>
    <n v="884"/>
    <s v="Cria da Fazenda"/>
    <x v="5"/>
    <m/>
    <d v="2020-07-29T00:00:00"/>
    <n v="5.03"/>
    <n v="1527"/>
  </r>
  <r>
    <s v="642"/>
    <n v="798"/>
    <s v="nel.castanha"/>
    <s v="M"/>
    <d v="2019-11-29T00:00:00"/>
    <n v="1055"/>
    <n v="984"/>
    <s v="Cria da Fazenda"/>
    <x v="5"/>
    <m/>
    <d v="2020-07-29T00:00:00"/>
    <n v="5.03"/>
    <n v="1527"/>
  </r>
  <r>
    <s v="643"/>
    <n v="799"/>
    <s v="nel.branca"/>
    <s v="M"/>
    <d v="2019-12-03T00:00:00"/>
    <n v="1055"/>
    <n v="993"/>
    <s v="Cria da Fazenda"/>
    <x v="5"/>
    <m/>
    <d v="2020-07-29T00:00:00"/>
    <n v="5.03"/>
    <n v="1527"/>
  </r>
  <r>
    <s v="644"/>
    <n v="800"/>
    <s v="nel.branca"/>
    <s v="F"/>
    <d v="2019-12-06T00:00:00"/>
    <s v="ArmadorAP"/>
    <n v="1010"/>
    <s v="Cria da Fazenda"/>
    <x v="5"/>
    <m/>
    <d v="2020-07-29T00:00:00"/>
    <n v="5.03"/>
    <n v="1527"/>
  </r>
  <r>
    <s v="645"/>
    <n v="801"/>
    <s v="nel.branca"/>
    <s v="M"/>
    <d v="2019-12-06T00:00:00"/>
    <s v="Nelore 2"/>
    <n v="930"/>
    <s v="Cria da Fazenda"/>
    <x v="5"/>
    <m/>
    <d v="2020-07-29T00:00:00"/>
    <n v="5.03"/>
    <n v="1527"/>
  </r>
  <r>
    <s v="646"/>
    <n v="802"/>
    <s v="nel.branca"/>
    <s v="M"/>
    <d v="2019-12-11T00:00:00"/>
    <s v="Nelore 2"/>
    <n v="862"/>
    <s v="Cria da Fazenda"/>
    <x v="5"/>
    <m/>
    <d v="2020-07-29T00:00:00"/>
    <n v="5.03"/>
    <n v="1527"/>
  </r>
  <r>
    <s v="647"/>
    <n v="803"/>
    <s v="nel.castanha"/>
    <s v="M"/>
    <d v="2019-12-12T00:00:00"/>
    <s v="Apolo Api"/>
    <n v="1009"/>
    <s v="Cria da Fazenda"/>
    <x v="5"/>
    <m/>
    <d v="2020-07-29T00:00:00"/>
    <n v="5.03"/>
    <n v="1527"/>
  </r>
  <r>
    <s v="648"/>
    <s v="S/R"/>
    <s v="nel.castanha"/>
    <s v="F"/>
    <d v="2019-12-12T00:00:00"/>
    <s v="Apolo Api"/>
    <n v="1008"/>
    <s v="Cria da Fazenda"/>
    <x v="1"/>
    <s v="nasceu morta."/>
    <s v="xxxxx"/>
    <s v="xxxxx"/>
    <s v="xxxxx"/>
  </r>
  <r>
    <s v="649"/>
    <n v="804"/>
    <s v="nel.branca"/>
    <s v="M"/>
    <d v="2019-12-14T00:00:00"/>
    <n v="1055"/>
    <n v="972"/>
    <s v="Cria da Fazenda"/>
    <x v="5"/>
    <m/>
    <d v="2020-07-29T00:00:00"/>
    <n v="5.03"/>
    <n v="1527"/>
  </r>
  <r>
    <s v="650"/>
    <n v="805"/>
    <s v="nel.branca"/>
    <s v="M"/>
    <d v="2019-12-15T00:00:00"/>
    <n v="1055"/>
    <n v="945"/>
    <s v="Cria da Fazenda"/>
    <x v="5"/>
    <m/>
    <d v="2020-07-29T00:00:00"/>
    <n v="5.03"/>
    <n v="1527"/>
  </r>
  <r>
    <s v="651"/>
    <n v="806"/>
    <s v="nel.castanha"/>
    <s v="F"/>
    <d v="2019-12-19T00:00:00"/>
    <s v="Nelore 2"/>
    <n v="954"/>
    <s v="Cria da Fazenda"/>
    <x v="9"/>
    <s v="desaparecida/roubada"/>
    <d v="2020-05-21T00:00:00"/>
    <n v="4.01"/>
    <s v="xxxxx"/>
  </r>
  <r>
    <s v="652"/>
    <n v="807"/>
    <s v="nel.castanha"/>
    <s v="F"/>
    <d v="2019-12-20T00:00:00"/>
    <n v="1055"/>
    <n v="889"/>
    <s v="Cria da Fazenda"/>
    <x v="5"/>
    <m/>
    <d v="2020-07-29T00:00:00"/>
    <n v="5.03"/>
    <n v="1527"/>
  </r>
  <r>
    <s v="653"/>
    <n v="808"/>
    <s v="nel.castanha"/>
    <s v="M"/>
    <d v="2019-12-22T00:00:00"/>
    <s v="Ateu do api"/>
    <n v="1011"/>
    <s v="Cria da Fazenda"/>
    <x v="5"/>
    <m/>
    <d v="2020-07-29T00:00:00"/>
    <n v="5.03"/>
    <n v="1527"/>
  </r>
  <r>
    <s v="654"/>
    <n v="809"/>
    <s v="nel.branca"/>
    <s v="F"/>
    <d v="2019-12-26T00:00:00"/>
    <n v="1055"/>
    <n v="858"/>
    <s v="Cria da Fazenda"/>
    <x v="5"/>
    <m/>
    <d v="2020-07-29T00:00:00"/>
    <n v="5.03"/>
    <n v="1527"/>
  </r>
  <r>
    <s v="655"/>
    <n v="810"/>
    <s v="nel.branca"/>
    <s v="M"/>
    <d v="2019-12-28T00:00:00"/>
    <s v="Nelore 2"/>
    <n v="863"/>
    <s v="Cria da Fazenda"/>
    <x v="5"/>
    <m/>
    <d v="2020-07-29T00:00:00"/>
    <n v="5.03"/>
    <n v="1527"/>
  </r>
  <r>
    <s v="656"/>
    <n v="811"/>
    <s v="nel.castanha"/>
    <s v="M"/>
    <d v="2020-01-04T00:00:00"/>
    <s v="Nelore 2"/>
    <n v="872"/>
    <s v="Cria da Fazenda"/>
    <x v="5"/>
    <m/>
    <d v="2020-07-29T00:00:00"/>
    <n v="5.03"/>
    <n v="1527"/>
  </r>
  <r>
    <s v="657"/>
    <n v="812"/>
    <s v="nel.castanha"/>
    <s v="M"/>
    <d v="2020-01-14T00:00:00"/>
    <n v="1043"/>
    <n v="963"/>
    <s v="Cria da Fazenda"/>
    <x v="5"/>
    <m/>
    <d v="2020-07-29T00:00:00"/>
    <n v="5.03"/>
    <n v="1527"/>
  </r>
  <r>
    <s v="658"/>
    <n v="813"/>
    <s v="nel.branca"/>
    <s v="M"/>
    <d v="2020-01-16T00:00:00"/>
    <s v="Nelore 2"/>
    <n v="865"/>
    <s v="Cria da Fazenda"/>
    <x v="10"/>
    <m/>
    <d v="2021-05-30T00:00:00"/>
    <n v="6.41"/>
    <n v="2564"/>
  </r>
  <r>
    <s v="659"/>
    <n v="814"/>
    <s v="nel.branca"/>
    <s v="F"/>
    <d v="2020-01-22T00:00:00"/>
    <n v="1043"/>
    <n v="893"/>
    <s v="Cria da Fazenda"/>
    <x v="10"/>
    <m/>
    <d v="2021-05-30T00:00:00"/>
    <n v="6.41"/>
    <n v="2564"/>
  </r>
  <r>
    <s v="660"/>
    <n v="815"/>
    <s v="nel.branca"/>
    <s v="F"/>
    <d v="2020-01-28T00:00:00"/>
    <n v="1043"/>
    <n v="894"/>
    <s v="Cria da Fazenda"/>
    <x v="10"/>
    <m/>
    <d v="2021-05-30T00:00:00"/>
    <n v="6.41"/>
    <n v="2564"/>
  </r>
  <r>
    <s v="661"/>
    <n v="816"/>
    <s v="nel.branca"/>
    <s v="M"/>
    <d v="2020-01-28T00:00:00"/>
    <n v="1055"/>
    <n v="942"/>
    <s v="Cria da Fazenda"/>
    <x v="10"/>
    <m/>
    <d v="2021-05-30T00:00:00"/>
    <n v="6.41"/>
    <n v="2564"/>
  </r>
  <r>
    <s v="662"/>
    <n v="817"/>
    <s v="nel.branca"/>
    <s v="F"/>
    <d v="2020-01-29T00:00:00"/>
    <n v="1055"/>
    <n v="950"/>
    <s v="Cria da Fazenda"/>
    <x v="10"/>
    <m/>
    <d v="2021-05-30T00:00:00"/>
    <n v="6.41"/>
    <n v="2564"/>
  </r>
  <r>
    <s v="663"/>
    <n v="818"/>
    <s v="nel.castanha"/>
    <s v="M"/>
    <d v="2020-02-02T00:00:00"/>
    <n v="1055"/>
    <n v="867"/>
    <s v="Cria da Fazenda"/>
    <x v="10"/>
    <m/>
    <d v="2021-05-30T00:00:00"/>
    <n v="6.41"/>
    <n v="2564"/>
  </r>
  <r>
    <s v="664"/>
    <n v="819"/>
    <s v="nel.castanha"/>
    <s v="M"/>
    <d v="2020-02-05T00:00:00"/>
    <n v="1055"/>
    <n v="876"/>
    <s v="Cria da Fazenda"/>
    <x v="10"/>
    <m/>
    <d v="2021-05-30T00:00:00"/>
    <n v="6.41"/>
    <n v="2564"/>
  </r>
  <r>
    <s v="665"/>
    <n v="820"/>
    <s v="nel.branca"/>
    <s v="F"/>
    <d v="2020-02-11T00:00:00"/>
    <s v="Ateu do api"/>
    <n v="1012"/>
    <s v="Cria da Fazenda"/>
    <x v="5"/>
    <m/>
    <d v="2020-07-29T00:00:00"/>
    <n v="5.03"/>
    <n v="1527"/>
  </r>
  <r>
    <s v="666"/>
    <n v="821"/>
    <s v="nel.castanha"/>
    <s v="F"/>
    <d v="2020-02-15T00:00:00"/>
    <n v="1055"/>
    <n v="988"/>
    <s v="Cria da Fazenda"/>
    <x v="10"/>
    <m/>
    <d v="2021-05-30T00:00:00"/>
    <n v="6.41"/>
    <n v="2564"/>
  </r>
  <r>
    <s v="667"/>
    <n v="822"/>
    <s v="nel.castanha"/>
    <s v="F"/>
    <d v="2020-02-16T00:00:00"/>
    <n v="1055"/>
    <n v="854"/>
    <s v="Cria da Fazenda"/>
    <x v="5"/>
    <m/>
    <d v="2020-07-29T00:00:00"/>
    <n v="5.03"/>
    <n v="1527"/>
  </r>
  <r>
    <s v="668"/>
    <n v="823"/>
    <s v="nel.castanha"/>
    <s v="F"/>
    <d v="2020-02-19T00:00:00"/>
    <n v="1055"/>
    <n v="985"/>
    <s v="Cria da Fazenda"/>
    <x v="10"/>
    <m/>
    <d v="2021-05-30T00:00:00"/>
    <n v="6.41"/>
    <n v="2564"/>
  </r>
  <r>
    <s v="669"/>
    <n v="824"/>
    <s v="nel.branca"/>
    <s v="F"/>
    <d v="2020-03-03T00:00:00"/>
    <n v="1055"/>
    <n v="939"/>
    <s v="Cria da Fazenda"/>
    <x v="10"/>
    <m/>
    <d v="2021-05-30T00:00:00"/>
    <n v="6.41"/>
    <n v="2564"/>
  </r>
  <r>
    <s v="670"/>
    <n v="825"/>
    <s v="nel.branca"/>
    <s v="M"/>
    <d v="2020-03-07T00:00:00"/>
    <n v="1043"/>
    <n v="881"/>
    <s v="Cria da Fazenda"/>
    <x v="5"/>
    <m/>
    <d v="2020-07-29T00:00:00"/>
    <n v="5.03"/>
    <n v="1527"/>
  </r>
  <r>
    <s v="671"/>
    <n v="826"/>
    <s v="nel.branca"/>
    <s v="M"/>
    <d v="2020-03-08T00:00:00"/>
    <n v="1043"/>
    <n v="980"/>
    <s v="Cria da Fazenda"/>
    <x v="10"/>
    <m/>
    <d v="2021-05-30T00:00:00"/>
    <n v="6.41"/>
    <n v="2564"/>
  </r>
  <r>
    <s v="672"/>
    <n v="827"/>
    <s v="nel.branca"/>
    <s v="F"/>
    <d v="2020-03-23T00:00:00"/>
    <n v="1043"/>
    <n v="974"/>
    <s v="Cria da Fazenda"/>
    <x v="10"/>
    <m/>
    <d v="2021-05-30T00:00:00"/>
    <n v="6.41"/>
    <n v="2564"/>
  </r>
  <r>
    <s v="673"/>
    <n v="828"/>
    <s v="nel.branca"/>
    <s v="M"/>
    <d v="2020-04-02T00:00:00"/>
    <n v="1055"/>
    <n v="874"/>
    <s v="Cria da Fazenda"/>
    <x v="10"/>
    <m/>
    <d v="2021-05-30T00:00:00"/>
    <n v="6.41"/>
    <n v="2564"/>
  </r>
  <r>
    <s v="674"/>
    <n v="829"/>
    <s v="nel.branca"/>
    <s v="F"/>
    <d v="2020-04-05T00:00:00"/>
    <n v="1043"/>
    <n v="933"/>
    <s v="Cria da Fazenda"/>
    <x v="10"/>
    <m/>
    <d v="2021-05-30T00:00:00"/>
    <n v="6.41"/>
    <n v="2564"/>
  </r>
  <r>
    <s v="675"/>
    <n v="830"/>
    <s v="nel.branca"/>
    <s v="F"/>
    <d v="2020-04-28T00:00:00"/>
    <n v="1055"/>
    <n v="978"/>
    <s v="Cria da Fazenda"/>
    <x v="10"/>
    <m/>
    <d v="2021-05-30T00:00:00"/>
    <n v="6.41"/>
    <n v="2564"/>
  </r>
  <r>
    <s v="676"/>
    <n v="831"/>
    <s v="nel.branca"/>
    <s v="M"/>
    <d v="2020-05-03T00:00:00"/>
    <s v="Nelore 2"/>
    <n v="860"/>
    <s v="Cria da Fazenda"/>
    <x v="10"/>
    <m/>
    <d v="2021-05-30T00:00:00"/>
    <n v="6.41"/>
    <n v="2564"/>
  </r>
  <r>
    <s v="677"/>
    <n v="832"/>
    <s v="nel.branca"/>
    <s v="F"/>
    <d v="2020-05-11T00:00:00"/>
    <s v="Nelore 2"/>
    <n v="898"/>
    <s v="Cria da Fazenda"/>
    <x v="10"/>
    <m/>
    <d v="2021-05-30T00:00:00"/>
    <n v="6.41"/>
    <n v="2564"/>
  </r>
  <r>
    <s v="678"/>
    <n v="833"/>
    <s v="nel.castanha"/>
    <s v="F"/>
    <d v="2020-06-22T00:00:00"/>
    <s v="Nelore 2"/>
    <n v="899"/>
    <s v="Cria da Fazenda"/>
    <x v="10"/>
    <m/>
    <d v="2021-05-30T00:00:00"/>
    <n v="6.41"/>
    <n v="2564"/>
  </r>
  <r>
    <s v="679"/>
    <n v="834"/>
    <s v="nel.castanha"/>
    <s v="F"/>
    <d v="2020-07-17T00:00:00"/>
    <n v="1043"/>
    <n v="964"/>
    <s v="Cria da Fazenda"/>
    <x v="10"/>
    <m/>
    <d v="2021-05-30T00:00:00"/>
    <n v="6.41"/>
    <n v="2564"/>
  </r>
  <r>
    <s v="680"/>
    <n v="835"/>
    <s v="nel.castanha"/>
    <s v="F"/>
    <d v="2020-07-18T00:00:00"/>
    <n v="1055"/>
    <n v="957"/>
    <s v="Cria da Fazenda"/>
    <x v="10"/>
    <m/>
    <d v="2021-05-30T00:00:00"/>
    <n v="6.41"/>
    <n v="2564"/>
  </r>
  <r>
    <s v="681"/>
    <n v="836"/>
    <s v="nel.branca"/>
    <s v="M"/>
    <d v="2020-07-28T00:00:00"/>
    <n v="1043"/>
    <n v="961"/>
    <s v="Cria da Fazenda"/>
    <x v="10"/>
    <m/>
    <d v="2021-05-30T00:00:00"/>
    <n v="6.41"/>
    <n v="2564"/>
  </r>
  <r>
    <s v="682"/>
    <n v="837"/>
    <s v="nel.branca"/>
    <s v="M"/>
    <d v="2020-08-06T00:00:00"/>
    <n v="1055"/>
    <n v="869"/>
    <s v="Cria da Fazenda"/>
    <x v="10"/>
    <m/>
    <d v="2021-05-30T00:00:00"/>
    <n v="6.41"/>
    <n v="2564"/>
  </r>
  <r>
    <s v="683"/>
    <n v="838"/>
    <s v="nel.branca"/>
    <s v="F"/>
    <d v="2020-08-06T00:00:00"/>
    <n v="1043"/>
    <n v="886"/>
    <s v="Cria da Fazenda"/>
    <x v="10"/>
    <m/>
    <d v="2021-05-30T00:00:00"/>
    <n v="6.41"/>
    <n v="2564"/>
  </r>
  <r>
    <s v="684"/>
    <n v="839"/>
    <s v="nel.branca"/>
    <s v="F"/>
    <d v="2020-08-15T00:00:00"/>
    <n v="1055"/>
    <n v="877"/>
    <s v="Cria da Fazenda"/>
    <x v="10"/>
    <m/>
    <d v="2021-05-30T00:00:00"/>
    <n v="6.41"/>
    <n v="2564"/>
  </r>
  <r>
    <s v="685"/>
    <n v="840"/>
    <s v="nel.castanha"/>
    <s v="M"/>
    <d v="2020-08-21T00:00:00"/>
    <n v="1055"/>
    <n v="934"/>
    <s v="Cria da Fazenda"/>
    <x v="10"/>
    <m/>
    <d v="2021-05-30T00:00:00"/>
    <n v="6.41"/>
    <n v="2564"/>
  </r>
  <r>
    <s v="686"/>
    <n v="841"/>
    <s v="nel.branca"/>
    <s v="F"/>
    <d v="2020-09-09T00:00:00"/>
    <n v="1055"/>
    <n v="956"/>
    <s v="Cria da Fazenda"/>
    <x v="10"/>
    <m/>
    <d v="2021-05-30T00:00:00"/>
    <n v="6.41"/>
    <n v="2564"/>
  </r>
  <r>
    <s v="687"/>
    <n v="842"/>
    <s v="nel.branca"/>
    <s v="F"/>
    <d v="2020-10-01T00:00:00"/>
    <n v="1055"/>
    <n v="943"/>
    <s v="Cria da Fazenda"/>
    <x v="11"/>
    <m/>
    <d v="2021-11-01T00:00:00"/>
    <n v="5.64"/>
    <n v="2307"/>
  </r>
  <r>
    <s v="688"/>
    <n v="843"/>
    <s v="nel.branca"/>
    <s v="M"/>
    <d v="2020-10-03T00:00:00"/>
    <n v="1043"/>
    <n v="944"/>
    <s v="Cria da Fazenda"/>
    <x v="11"/>
    <m/>
    <d v="2021-11-01T00:00:00"/>
    <n v="5.64"/>
    <n v="2307"/>
  </r>
  <r>
    <s v="689"/>
    <n v="844"/>
    <s v="nel.castanha"/>
    <s v="F"/>
    <d v="2020-10-13T00:00:00"/>
    <n v="1043"/>
    <n v="873"/>
    <s v="Cria da Fazenda"/>
    <x v="11"/>
    <m/>
    <d v="2021-11-01T00:00:00"/>
    <n v="5.64"/>
    <n v="2307"/>
  </r>
  <r>
    <s v="690"/>
    <n v="845"/>
    <s v="nel.branca"/>
    <s v="M"/>
    <d v="2020-10-15T00:00:00"/>
    <n v="1055"/>
    <n v="859"/>
    <s v="Cria da Fazenda"/>
    <x v="11"/>
    <m/>
    <d v="2021-11-01T00:00:00"/>
    <n v="5.64"/>
    <n v="2307"/>
  </r>
  <r>
    <s v="691"/>
    <n v="846"/>
    <s v="nel.castanha"/>
    <s v="M"/>
    <d v="2020-10-15T00:00:00"/>
    <n v="1055"/>
    <n v="958"/>
    <s v="Cria da Fazenda"/>
    <x v="11"/>
    <m/>
    <d v="2021-11-01T00:00:00"/>
    <n v="5.64"/>
    <n v="2307"/>
  </r>
  <r>
    <s v="692"/>
    <n v="847"/>
    <s v="nel.branca"/>
    <s v="F"/>
    <d v="2020-10-16T00:00:00"/>
    <n v="1055"/>
    <n v="992"/>
    <s v="Cria da Fazenda"/>
    <x v="11"/>
    <m/>
    <d v="2021-11-01T00:00:00"/>
    <n v="5.64"/>
    <n v="2307"/>
  </r>
  <r>
    <s v="693"/>
    <n v="848"/>
    <s v="nel.branca"/>
    <s v="F"/>
    <d v="2020-10-21T00:00:00"/>
    <n v="1043"/>
    <n v="870"/>
    <s v="Cria da Fazenda"/>
    <x v="11"/>
    <m/>
    <d v="2021-11-01T00:00:00"/>
    <n v="5.64"/>
    <n v="2307"/>
  </r>
  <r>
    <s v="694"/>
    <n v="849"/>
    <s v="nel.branca"/>
    <s v="F"/>
    <d v="2020-10-23T00:00:00"/>
    <n v="1043"/>
    <n v="966"/>
    <s v="Cria da Fazenda"/>
    <x v="11"/>
    <m/>
    <d v="2021-11-01T00:00:00"/>
    <n v="5.64"/>
    <n v="2307"/>
  </r>
  <r>
    <s v="695"/>
    <n v="850"/>
    <s v="nel.castanha"/>
    <s v="M"/>
    <d v="2020-10-24T00:00:00"/>
    <n v="1043"/>
    <n v="987"/>
    <s v="Cria da Fazenda"/>
    <x v="11"/>
    <m/>
    <d v="2021-11-01T00:00:00"/>
    <n v="5.64"/>
    <n v="2307"/>
  </r>
  <r>
    <s v="696"/>
    <n v="851"/>
    <s v="nel.castanha"/>
    <s v="F"/>
    <d v="2020-10-26T00:00:00"/>
    <n v="1043"/>
    <n v="981"/>
    <s v="Cria da Fazenda"/>
    <x v="11"/>
    <m/>
    <d v="2021-11-01T00:00:00"/>
    <n v="5.64"/>
    <n v="2307"/>
  </r>
  <r>
    <s v="697"/>
    <n v="852"/>
    <s v="nel.branca"/>
    <s v="F"/>
    <d v="2020-10-27T00:00:00"/>
    <n v="1043"/>
    <n v="990"/>
    <s v="Cria da Fazenda"/>
    <x v="11"/>
    <m/>
    <d v="2021-11-01T00:00:00"/>
    <n v="5.64"/>
    <n v="2307"/>
  </r>
  <r>
    <s v="698"/>
    <n v="853"/>
    <s v="nel.branca"/>
    <s v="F"/>
    <d v="2020-10-28T00:00:00"/>
    <n v="1043"/>
    <n v="983"/>
    <s v="Cria da Fazenda"/>
    <x v="11"/>
    <m/>
    <d v="2021-11-01T00:00:00"/>
    <n v="5.64"/>
    <n v="2307"/>
  </r>
  <r>
    <s v="699"/>
    <n v="854"/>
    <s v="nel.branca"/>
    <s v="M"/>
    <d v="2020-10-28T00:00:00"/>
    <n v="1043"/>
    <n v="969"/>
    <s v="Cria da Fazenda"/>
    <x v="11"/>
    <m/>
    <d v="2021-11-01T00:00:00"/>
    <n v="5.64"/>
    <n v="2307"/>
  </r>
  <r>
    <s v="700"/>
    <n v="855"/>
    <s v="nel.branca"/>
    <s v="M"/>
    <d v="2020-10-29T00:00:00"/>
    <n v="1043"/>
    <n v="880"/>
    <s v="Cria da Fazenda"/>
    <x v="11"/>
    <m/>
    <d v="2021-11-01T00:00:00"/>
    <n v="5.64"/>
    <n v="2307"/>
  </r>
  <r>
    <s v="701"/>
    <n v="856"/>
    <s v="nel.branca"/>
    <s v="F"/>
    <d v="2020-11-02T00:00:00"/>
    <n v="1043"/>
    <n v="946"/>
    <s v="Cria da Fazenda"/>
    <x v="11"/>
    <m/>
    <d v="2021-11-01T00:00:00"/>
    <n v="5.64"/>
    <n v="2307"/>
  </r>
  <r>
    <s v="702"/>
    <n v="857"/>
    <s v="nel.branca"/>
    <s v="M"/>
    <d v="2020-11-05T00:00:00"/>
    <n v="1043"/>
    <n v="926"/>
    <s v="Cria da Fazenda"/>
    <x v="11"/>
    <m/>
    <d v="2021-11-01T00:00:00"/>
    <n v="5.64"/>
    <n v="2307"/>
  </r>
  <r>
    <s v="703"/>
    <n v="858"/>
    <s v="nel.branca"/>
    <s v="M"/>
    <d v="2024-09-13T00:00:00"/>
    <n v="1055"/>
    <n v="885"/>
    <s v="Cria da Fazenda"/>
    <x v="11"/>
    <m/>
    <d v="2021-11-01T00:00:00"/>
    <n v="5.64"/>
    <n v="2307"/>
  </r>
  <r>
    <s v="704"/>
    <n v="859"/>
    <s v="nel.branca"/>
    <s v="F"/>
    <d v="2020-11-17T00:00:00"/>
    <n v="1055"/>
    <n v="949"/>
    <s v="Cria da Fazenda"/>
    <x v="11"/>
    <m/>
    <d v="2021-11-01T00:00:00"/>
    <n v="5.64"/>
    <n v="2307"/>
  </r>
  <r>
    <s v="705"/>
    <n v="860"/>
    <s v="nel.branca"/>
    <s v="M"/>
    <d v="2020-11-17T00:00:00"/>
    <n v="1043"/>
    <n v="936"/>
    <s v="Cria da Fazenda"/>
    <x v="11"/>
    <m/>
    <d v="2021-11-01T00:00:00"/>
    <n v="5.64"/>
    <n v="2307"/>
  </r>
  <r>
    <s v="706"/>
    <n v="861"/>
    <s v="nel.branca"/>
    <s v="M"/>
    <d v="2020-11-23T00:00:00"/>
    <n v="1043"/>
    <n v="976"/>
    <s v="Cria da Fazenda"/>
    <x v="11"/>
    <m/>
    <d v="2021-11-01T00:00:00"/>
    <n v="5.64"/>
    <n v="2307"/>
  </r>
  <r>
    <s v="707"/>
    <n v="862"/>
    <s v="nel.castanha"/>
    <s v="F"/>
    <d v="2020-11-24T00:00:00"/>
    <n v="1043"/>
    <n v="977"/>
    <s v="Cria da Fazenda"/>
    <x v="11"/>
    <m/>
    <d v="2021-11-01T00:00:00"/>
    <n v="5.64"/>
    <n v="2307"/>
  </r>
  <r>
    <s v="708"/>
    <n v="863"/>
    <s v="nel.branca"/>
    <s v="F"/>
    <d v="2020-12-14T00:00:00"/>
    <n v="1043"/>
    <n v="967"/>
    <s v="Cria da Fazenda"/>
    <x v="11"/>
    <m/>
    <d v="2021-11-01T00:00:00"/>
    <n v="5.64"/>
    <n v="2307"/>
  </r>
  <r>
    <s v="709"/>
    <n v="864"/>
    <s v="nel.branca"/>
    <s v="F"/>
    <d v="2020-12-20T00:00:00"/>
    <n v="1043"/>
    <n v="973"/>
    <s v="Cria da Fazenda"/>
    <x v="1"/>
    <s v="Morreu em 20/12/20,devido"/>
    <s v="aplicaçáo de med.errada"/>
    <m/>
    <s v="xxxxx"/>
  </r>
  <r>
    <s v="710"/>
    <n v="865"/>
    <s v="nel.branca"/>
    <s v="F"/>
    <d v="2021-01-01T00:00:00"/>
    <n v="1055"/>
    <n v="875"/>
    <s v="Cria da Fazenda"/>
    <x v="11"/>
    <m/>
    <d v="2021-11-01T00:00:00"/>
    <n v="5.64"/>
    <n v="2307"/>
  </r>
  <r>
    <s v="711"/>
    <n v="866"/>
    <s v="nel.branca"/>
    <s v="M"/>
    <d v="2021-01-27T00:00:00"/>
    <n v="1043"/>
    <n v="980"/>
    <s v="Cria da Fazenda"/>
    <x v="11"/>
    <m/>
    <d v="2021-11-01T00:00:00"/>
    <n v="5.64"/>
    <n v="2307"/>
  </r>
  <r>
    <s v="712"/>
    <n v="867"/>
    <s v="nel.branca"/>
    <s v="F"/>
    <d v="2021-04-01T00:00:00"/>
    <n v="1043"/>
    <n v="882"/>
    <s v="Cria da Fazenda"/>
    <x v="11"/>
    <m/>
    <d v="2021-11-01T00:00:00"/>
    <n v="5.64"/>
    <n v="2307"/>
  </r>
  <r>
    <s v="713"/>
    <n v="868"/>
    <s v="nel.branca"/>
    <s v="F"/>
    <d v="2021-05-02T00:00:00"/>
    <n v="1043"/>
    <n v="930"/>
    <s v="Cria da Fazenda"/>
    <x v="12"/>
    <m/>
    <d v="2022-01-25T00:00:00"/>
    <n v="5.01"/>
    <n v="2135"/>
  </r>
  <r>
    <s v="714"/>
    <n v="869"/>
    <s v="nel.branca"/>
    <s v="M"/>
    <d v="2021-05-03T00:00:00"/>
    <n v="1043"/>
    <n v="959"/>
    <s v="Cria da Fazenda"/>
    <x v="12"/>
    <m/>
    <d v="2022-01-25T00:00:00"/>
    <n v="5.01"/>
    <n v="2135"/>
  </r>
  <r>
    <s v="715"/>
    <n v="870"/>
    <s v="nel.branca"/>
    <s v="M"/>
    <d v="2021-05-06T00:00:00"/>
    <n v="1043"/>
    <n v="863"/>
    <s v="Cria da Fazenda"/>
    <x v="12"/>
    <m/>
    <d v="2022-01-25T00:00:00"/>
    <n v="5.01"/>
    <n v="2135"/>
  </r>
  <r>
    <s v="716"/>
    <n v="871"/>
    <s v="nel.branca"/>
    <s v="M"/>
    <d v="2021-05-08T00:00:00"/>
    <n v="1043"/>
    <n v="947"/>
    <s v="Cria da Fazenda"/>
    <x v="12"/>
    <m/>
    <d v="2022-01-25T00:00:00"/>
    <n v="5.01"/>
    <n v="2135"/>
  </r>
  <r>
    <s v="717"/>
    <n v="872"/>
    <s v="nel.branca"/>
    <s v="M"/>
    <d v="2021-05-09T00:00:00"/>
    <n v="1043"/>
    <n v="993"/>
    <s v="Cria da Fazenda"/>
    <x v="12"/>
    <m/>
    <d v="2022-01-25T00:00:00"/>
    <n v="5.01"/>
    <n v="2135"/>
  </r>
  <r>
    <s v="718"/>
    <n v="873"/>
    <s v="nel.branca"/>
    <s v="M"/>
    <d v="2021-05-09T00:00:00"/>
    <n v="1043"/>
    <n v="972"/>
    <s v="Cria da Fazenda"/>
    <x v="12"/>
    <m/>
    <d v="2022-01-25T00:00:00"/>
    <n v="5.01"/>
    <n v="2135"/>
  </r>
  <r>
    <s v="719"/>
    <n v="874"/>
    <s v="nel.branca"/>
    <s v="F"/>
    <d v="2021-05-12T00:00:00"/>
    <n v="1043"/>
    <n v="984"/>
    <s v="Cria da Fazenda"/>
    <x v="12"/>
    <m/>
    <d v="2022-01-25T00:00:00"/>
    <n v="5.01"/>
    <n v="2135"/>
  </r>
  <r>
    <s v="720"/>
    <n v="875"/>
    <s v="nel.branca"/>
    <s v="F"/>
    <d v="2021-05-14T00:00:00"/>
    <n v="1043"/>
    <n v="858"/>
    <s v="Cria da Fazenda"/>
    <x v="12"/>
    <m/>
    <d v="2022-01-25T00:00:00"/>
    <n v="5.01"/>
    <n v="2135"/>
  </r>
  <r>
    <s v="721"/>
    <n v="876"/>
    <s v="nel.branca"/>
    <s v="M"/>
    <d v="2021-05-14T00:00:00"/>
    <n v="1043"/>
    <n v="1010"/>
    <s v="Cria da Fazenda"/>
    <x v="12"/>
    <m/>
    <d v="2022-01-25T00:00:00"/>
    <n v="5.01"/>
    <n v="2135"/>
  </r>
  <r>
    <s v="722"/>
    <n v="877"/>
    <s v="nel.branca"/>
    <s v="F"/>
    <d v="2021-05-14T00:00:00"/>
    <n v="1043"/>
    <n v="862"/>
    <s v="Cria da Fazenda"/>
    <x v="12"/>
    <m/>
    <d v="2022-01-25T00:00:00"/>
    <n v="5.01"/>
    <n v="2135"/>
  </r>
  <r>
    <s v="723"/>
    <n v="878"/>
    <s v="nel.branca"/>
    <s v="M"/>
    <d v="2021-05-14T00:00:00"/>
    <n v="1043"/>
    <n v="945"/>
    <s v="Cria da Fazenda"/>
    <x v="12"/>
    <m/>
    <d v="2022-01-25T00:00:00"/>
    <n v="5.01"/>
    <n v="2135"/>
  </r>
  <r>
    <s v="724"/>
    <n v="879"/>
    <s v="nel.castanha"/>
    <s v="M"/>
    <d v="2021-05-26T00:00:00"/>
    <n v="1043"/>
    <n v="889"/>
    <s v="Cria da Fazenda"/>
    <x v="12"/>
    <m/>
    <d v="2022-01-25T00:00:00"/>
    <n v="5.01"/>
    <n v="2135"/>
  </r>
  <r>
    <s v="725"/>
    <n v="880"/>
    <s v="nel.castanha"/>
    <s v="M"/>
    <d v="2021-05-31T00:00:00"/>
    <n v="1043"/>
    <n v="931"/>
    <s v="Cria da Fazenda"/>
    <x v="12"/>
    <m/>
    <d v="2022-01-25T00:00:00"/>
    <n v="5.01"/>
    <n v="2135"/>
  </r>
  <r>
    <s v="726"/>
    <n v="881"/>
    <s v="nel.castanha"/>
    <s v="F"/>
    <d v="2021-06-07T00:00:00"/>
    <n v="1055"/>
    <n v="854"/>
    <s v="Cria da Fazenda"/>
    <x v="9"/>
    <s v="desaparecida/roubada, no"/>
    <s v="Pasto 01 em "/>
    <d v="2021-07-01T00:00:00"/>
    <s v="xxxxx"/>
  </r>
  <r>
    <s v="727"/>
    <n v="882"/>
    <s v="nel.branca"/>
    <s v="M"/>
    <d v="2021-06-10T00:00:00"/>
    <n v="1043"/>
    <n v="1011"/>
    <s v="Cria da Fazenda"/>
    <x v="12"/>
    <m/>
    <d v="2022-01-25T00:00:00"/>
    <n v="5.01"/>
    <n v="2135"/>
  </r>
  <r>
    <s v="728"/>
    <n v="883"/>
    <s v="nel.branca"/>
    <s v="M"/>
    <d v="2021-06-21T00:00:00"/>
    <n v="1055"/>
    <n v="978"/>
    <s v="Cria da Fazenda"/>
    <x v="12"/>
    <m/>
    <d v="2022-01-25T00:00:00"/>
    <n v="5.01"/>
    <n v="2135"/>
  </r>
  <r>
    <s v="729"/>
    <n v="884"/>
    <s v="nel.branca"/>
    <s v="M"/>
    <d v="2021-06-22T00:00:00"/>
    <n v="1055"/>
    <n v="963"/>
    <s v="Cria da Fazenda"/>
    <x v="12"/>
    <m/>
    <d v="2022-01-25T00:00:00"/>
    <n v="5.01"/>
    <n v="2135"/>
  </r>
  <r>
    <s v="730"/>
    <n v="885"/>
    <s v="nel.castanha"/>
    <s v="F"/>
    <d v="2021-06-24T00:00:00"/>
    <n v="1055"/>
    <n v="881"/>
    <s v="Cria da Fazenda"/>
    <x v="12"/>
    <m/>
    <d v="2022-01-25T00:00:00"/>
    <n v="5.01"/>
    <n v="2135"/>
  </r>
  <r>
    <s v="731"/>
    <n v="886"/>
    <s v="nel.branca"/>
    <s v="F"/>
    <d v="2021-07-16T00:00:00"/>
    <n v="1055"/>
    <n v="957"/>
    <s v="Cria da Fazenda"/>
    <x v="13"/>
    <m/>
    <d v="2023-01-12T00:00:00"/>
    <n v="6.02"/>
    <n v="2073"/>
  </r>
  <r>
    <s v="732"/>
    <n v="887"/>
    <s v="nel.castanha"/>
    <s v="M"/>
    <d v="2021-07-22T00:00:00"/>
    <n v="1043"/>
    <n v="954"/>
    <s v="Cria da Fazenda"/>
    <x v="1"/>
    <s v="Morreu com anemia em"/>
    <d v="2021-07-25T00:00:00"/>
    <s v="xxxxx"/>
    <s v="xxxxx"/>
  </r>
  <r>
    <s v="733"/>
    <s v="S/R"/>
    <s v="nel.castanha"/>
    <s v="M/M"/>
    <d v="2021-07-22T00:00:00"/>
    <n v="1043"/>
    <n v="985"/>
    <s v="Cria da Fazenda"/>
    <x v="1"/>
    <s v="Parto de 2 bezos nascido na "/>
    <m/>
    <m/>
    <m/>
  </r>
  <r>
    <s v="734"/>
    <n v="888"/>
    <s v="nel.branca"/>
    <s v="M"/>
    <d v="2021-07-31T00:00:00"/>
    <n v="1043"/>
    <n v="867"/>
    <s v="Cria da Fazenda"/>
    <x v="12"/>
    <m/>
    <d v="2022-01-25T00:00:00"/>
    <n v="5.01"/>
    <n v="2135"/>
  </r>
  <r>
    <s v="735"/>
    <n v="889"/>
    <s v="nel.branca"/>
    <s v="M"/>
    <d v="2021-08-02T00:00:00"/>
    <n v="1055"/>
    <n v="964"/>
    <s v="Cria da Fazenda"/>
    <x v="12"/>
    <m/>
    <d v="2022-01-25T00:00:00"/>
    <n v="5.01"/>
    <n v="2135"/>
  </r>
  <r>
    <s v="736"/>
    <n v="890"/>
    <s v="nel.castanha"/>
    <s v="F"/>
    <d v="2021-08-03T00:00:00"/>
    <n v="1043"/>
    <n v="939"/>
    <s v="Cria da Fazenda"/>
    <x v="13"/>
    <m/>
    <d v="2023-01-12T00:00:00"/>
    <n v="6.02"/>
    <n v="2073"/>
  </r>
  <r>
    <s v="737"/>
    <n v="891"/>
    <s v="nel.branca"/>
    <s v="M"/>
    <d v="2021-08-04T00:00:00"/>
    <n v="1043"/>
    <n v="894"/>
    <s v="Cria da Fazenda"/>
    <x v="12"/>
    <m/>
    <d v="2022-01-25T00:00:00"/>
    <n v="5.01"/>
    <n v="2135"/>
  </r>
  <r>
    <s v="738"/>
    <n v="892"/>
    <s v="nel.branca"/>
    <s v="M"/>
    <d v="2021-08-05T00:00:00"/>
    <n v="1055"/>
    <n v="884"/>
    <s v="Cria da Fazenda"/>
    <x v="14"/>
    <m/>
    <d v="2023-01-05T00:00:00"/>
    <n v="5.07"/>
    <n v="2145"/>
  </r>
  <r>
    <s v="739"/>
    <n v="893"/>
    <s v="nel.branca"/>
    <s v="M"/>
    <d v="2021-08-09T00:00:00"/>
    <n v="1055"/>
    <n v="1009"/>
    <s v="Cria da Fazenda"/>
    <x v="14"/>
    <m/>
    <d v="2023-01-05T00:00:00"/>
    <n v="7.03"/>
    <n v="2974"/>
  </r>
  <r>
    <s v="740"/>
    <n v="894"/>
    <s v="nel.branca"/>
    <s v="F"/>
    <d v="2021-08-10T00:00:00"/>
    <n v="1043"/>
    <n v="1012"/>
    <s v="Cria da Fazenda"/>
    <x v="13"/>
    <m/>
    <d v="2023-01-12T00:00:00"/>
    <n v="6.02"/>
    <n v="2073"/>
  </r>
  <r>
    <s v="741"/>
    <n v="895"/>
    <s v="nel.branca"/>
    <s v="F"/>
    <d v="2021-08-12T00:00:00"/>
    <n v="1055"/>
    <n v="893"/>
    <s v="Cria da Fazenda"/>
    <x v="13"/>
    <m/>
    <d v="2023-01-12T00:00:00"/>
    <n v="6.02"/>
    <n v="2073"/>
  </r>
  <r>
    <s v="742"/>
    <n v="896"/>
    <s v="nel.branca"/>
    <s v="F"/>
    <d v="2021-08-15T00:00:00"/>
    <n v="1055"/>
    <n v="899"/>
    <s v="Cria da Fazenda"/>
    <x v="13"/>
    <m/>
    <d v="2023-01-12T00:00:00"/>
    <n v="6.02"/>
    <n v="2073"/>
  </r>
  <r>
    <s v="743"/>
    <n v="897"/>
    <s v="nel.branca"/>
    <s v="M"/>
    <d v="2021-08-18T00:00:00"/>
    <n v="1043"/>
    <n v="988"/>
    <s v="Cria da Fazenda"/>
    <x v="13"/>
    <m/>
    <d v="2023-01-12T00:00:00"/>
    <n v="6.02"/>
    <n v="2229"/>
  </r>
  <r>
    <s v="744"/>
    <n v="898"/>
    <s v="nel.branca"/>
    <s v="F"/>
    <d v="2021-08-23T00:00:00"/>
    <n v="1055"/>
    <n v="898"/>
    <s v="Cria da Fazenda"/>
    <x v="13"/>
    <m/>
    <d v="2023-01-12T00:00:00"/>
    <n v="6.02"/>
    <n v="2079"/>
  </r>
  <r>
    <s v="745"/>
    <n v="899"/>
    <s v="nel.branca"/>
    <s v="F"/>
    <d v="2021-09-06T00:00:00"/>
    <n v="1055"/>
    <n v="886"/>
    <s v="Cria da Fazenda"/>
    <x v="13"/>
    <m/>
    <d v="2023-01-12T00:00:00"/>
    <n v="6.02"/>
    <n v="2079"/>
  </r>
  <r>
    <s v="746"/>
    <n v="900"/>
    <s v="nel.branca"/>
    <s v="F"/>
    <d v="2021-09-11T00:00:00"/>
    <n v="1055"/>
    <n v="865"/>
    <s v="Cria da Fazenda"/>
    <x v="13"/>
    <m/>
    <d v="2023-01-12T00:00:00"/>
    <n v="6.02"/>
    <n v="2079"/>
  </r>
  <r>
    <s v="747"/>
    <n v="901"/>
    <s v="nel.branca"/>
    <s v="M"/>
    <d v="2021-10-09T00:00:00"/>
    <n v="1043"/>
    <n v="950"/>
    <s v="Cria da Fazenda"/>
    <x v="13"/>
    <m/>
    <d v="2023-01-12T00:00:00"/>
    <n v="6.02"/>
    <n v="2229"/>
  </r>
  <r>
    <s v="748"/>
    <n v="902"/>
    <s v="nel.castanha"/>
    <s v="M"/>
    <d v="2021-10-24T00:00:00"/>
    <n v="1055"/>
    <n v="926"/>
    <s v="Cria da Fazenda"/>
    <x v="13"/>
    <m/>
    <d v="2023-01-12T00:00:00"/>
    <n v="6.02"/>
    <n v="2229"/>
  </r>
  <r>
    <s v="749"/>
    <n v="903"/>
    <s v="nel.branca"/>
    <s v="F"/>
    <d v="2021-10-29T00:00:00"/>
    <n v="1055"/>
    <n v="967"/>
    <s v="Cria da Fazenda"/>
    <x v="13"/>
    <m/>
    <d v="2023-01-12T00:00:00"/>
    <n v="6.02"/>
    <n v="2079"/>
  </r>
  <r>
    <s v="750"/>
    <n v="904"/>
    <s v="nel.branca"/>
    <s v="M"/>
    <d v="2021-11-08T00:00:00"/>
    <n v="1055"/>
    <n v="961"/>
    <s v="Cria da Fazenda"/>
    <x v="13"/>
    <m/>
    <d v="2023-01-12T00:00:00"/>
    <n v="6.02"/>
    <n v="2229"/>
  </r>
  <r>
    <s v="751"/>
    <n v="905"/>
    <s v="nel.branca"/>
    <s v="F"/>
    <d v="2021-11-10T00:00:00"/>
    <n v="1055"/>
    <n v="877"/>
    <s v="Cria da Fazenda"/>
    <x v="13"/>
    <m/>
    <d v="2023-01-12T00:00:00"/>
    <n v="6.02"/>
    <n v="2079"/>
  </r>
  <r>
    <s v="752"/>
    <n v="906"/>
    <s v="nel.branca"/>
    <s v="M"/>
    <d v="2021-11-13T00:00:00"/>
    <n v="1055"/>
    <n v="969"/>
    <s v="Cria da Fazenda"/>
    <x v="13"/>
    <m/>
    <d v="2023-01-12T00:00:00"/>
    <n v="6.02"/>
    <n v="2229"/>
  </r>
  <r>
    <s v="753"/>
    <n v="907"/>
    <s v="nel.branca"/>
    <s v="F"/>
    <d v="2021-11-14T00:00:00"/>
    <n v="1055"/>
    <n v="992"/>
    <s v="Cria da Fazenda"/>
    <x v="13"/>
    <m/>
    <d v="2023-01-12T00:00:00"/>
    <n v="6.02"/>
    <n v="2079"/>
  </r>
  <r>
    <s v="754"/>
    <n v="908"/>
    <s v="nel.branca"/>
    <s v="F"/>
    <d v="2021-11-17T00:00:00"/>
    <n v="1055"/>
    <n v="973"/>
    <s v="Cria da Fazenda"/>
    <x v="13"/>
    <m/>
    <d v="2023-01-12T00:00:00"/>
    <n v="6.02"/>
    <n v="2079"/>
  </r>
  <r>
    <s v="755"/>
    <n v="909"/>
    <s v="nel.branca"/>
    <s v="M"/>
    <d v="2021-11-19T00:00:00"/>
    <n v="1055"/>
    <n v="873"/>
    <s v="Cria da Fazenda"/>
    <x v="13"/>
    <m/>
    <d v="2023-01-12T00:00:00"/>
    <n v="6.02"/>
    <n v="2229"/>
  </r>
  <r>
    <s v="756"/>
    <n v="910"/>
    <s v="nel.castanha"/>
    <s v="F"/>
    <d v="2021-11-22T00:00:00"/>
    <n v="1055"/>
    <n v="977"/>
    <s v="Cria da Fazenda"/>
    <x v="13"/>
    <m/>
    <d v="2023-01-12T00:00:00"/>
    <n v="6.02"/>
    <n v="2079"/>
  </r>
  <r>
    <s v="757"/>
    <n v="911"/>
    <s v="nel.branca"/>
    <s v="F"/>
    <d v="2021-12-07T00:00:00"/>
    <n v="1055"/>
    <n v="934"/>
    <s v="Cria da Fazenda"/>
    <x v="13"/>
    <m/>
    <d v="2023-01-12T00:00:00"/>
    <n v="6.02"/>
    <n v="2079"/>
  </r>
  <r>
    <s v="758"/>
    <n v="912"/>
    <s v="nel.branca"/>
    <s v="F"/>
    <d v="2021-12-10T00:00:00"/>
    <n v="1055"/>
    <n v="943"/>
    <s v="Cria da Fazenda"/>
    <x v="13"/>
    <m/>
    <d v="2023-01-12T00:00:00"/>
    <n v="6.02"/>
    <n v="2079"/>
  </r>
  <r>
    <s v="759"/>
    <n v="913"/>
    <s v="nel.branca"/>
    <s v="M"/>
    <d v="2021-12-14T00:00:00"/>
    <n v="1055"/>
    <n v="966"/>
    <s v="Cria da Fazenda"/>
    <x v="13"/>
    <m/>
    <d v="2023-01-12T00:00:00"/>
    <n v="6.02"/>
    <n v="2229"/>
  </r>
  <r>
    <s v="760"/>
    <n v="914"/>
    <s v="nel.branca"/>
    <s v="F"/>
    <d v="2021-12-21T00:00:00"/>
    <n v="1055"/>
    <n v="987"/>
    <s v="Cria da Fazenda"/>
    <x v="13"/>
    <m/>
    <d v="2023-01-12T00:00:00"/>
    <n v="6.02"/>
    <n v="2079"/>
  </r>
  <r>
    <s v="761"/>
    <n v="915"/>
    <s v="nel.branca"/>
    <s v="F"/>
    <d v="2021-12-30T00:00:00"/>
    <n v="1055"/>
    <n v="946"/>
    <s v="Cria da Fazenda"/>
    <x v="13"/>
    <m/>
    <d v="2023-01-12T00:00:00"/>
    <n v="6.02"/>
    <n v="2079"/>
  </r>
  <r>
    <s v="762"/>
    <n v="916"/>
    <s v="nel.castanha"/>
    <s v="F"/>
    <d v="2022-01-05T00:00:00"/>
    <n v="1055"/>
    <n v="885"/>
    <s v="Cria da Fazenda"/>
    <x v="1"/>
    <s v="morreu causa desconhecida"/>
    <d v="2022-01-06T00:00:00"/>
    <s v="xxxxx"/>
    <s v="xxxxx"/>
  </r>
  <r>
    <s v="763"/>
    <n v="917"/>
    <s v="nel.branca"/>
    <s v="F"/>
    <d v="2022-01-07T00:00:00"/>
    <n v="1055"/>
    <n v="933"/>
    <s v="Cria da Fazenda"/>
    <x v="1"/>
    <s v="mor.09/01,devido a falta da "/>
    <s v="comple.do"/>
    <s v="aparelho re "/>
    <s v="produtivo."/>
  </r>
  <r>
    <s v="764"/>
    <n v="918"/>
    <s v="nel.branca"/>
    <s v="M"/>
    <d v="2022-01-07T00:00:00"/>
    <n v="1055"/>
    <n v="933"/>
    <s v="Cria da Fazenda"/>
    <x v="13"/>
    <m/>
    <d v="2023-01-12T00:00:00"/>
    <n v="6.02"/>
    <n v="2229"/>
  </r>
  <r>
    <s v="765"/>
    <n v="919"/>
    <s v="nel.branca"/>
    <s v="F"/>
    <d v="2022-01-18T00:00:00"/>
    <n v="1055"/>
    <n v="990"/>
    <s v="Cria da Fazenda"/>
    <x v="13"/>
    <m/>
    <d v="2023-01-12T00:00:00"/>
    <n v="6.02"/>
    <n v="2079"/>
  </r>
  <r>
    <s v="766"/>
    <n v="920"/>
    <s v="nel.branca"/>
    <s v="F"/>
    <d v="2022-01-26T00:00:00"/>
    <n v="1043"/>
    <n v="876"/>
    <s v="Cria da Fazenda"/>
    <x v="13"/>
    <m/>
    <d v="2023-01-12T00:00:00"/>
    <n v="6.02"/>
    <n v="2079"/>
  </r>
  <r>
    <s v="767"/>
    <n v="921"/>
    <s v="nel.branca"/>
    <s v="M"/>
    <d v="2022-02-02T00:00:00"/>
    <n v="1055"/>
    <n v="958"/>
    <s v="Cria da Fazenda"/>
    <x v="13"/>
    <m/>
    <d v="2023-01-12T00:00:00"/>
    <n v="6.02"/>
    <n v="2229"/>
  </r>
  <r>
    <s v="768"/>
    <n v="922"/>
    <s v="nel.branca"/>
    <s v="M"/>
    <d v="2022-02-10T00:00:00"/>
    <n v="1043"/>
    <n v="980"/>
    <s v="Cria da Fazenda"/>
    <x v="1"/>
    <s v="morreu causa desconhecida"/>
    <d v="2022-02-16T00:00:00"/>
    <s v="xxxxx"/>
    <s v="xxxxx"/>
  </r>
  <r>
    <s v="769"/>
    <n v="923"/>
    <s v="nel.branca"/>
    <s v="M"/>
    <d v="2022-02-10T00:00:00"/>
    <s v="DESC."/>
    <n v="1044"/>
    <s v="Cria da Fazenda"/>
    <x v="13"/>
    <m/>
    <d v="2023-01-12T00:00:00"/>
    <n v="6.02"/>
    <n v="2229"/>
  </r>
  <r>
    <s v="770"/>
    <n v="924"/>
    <s v="nel.branca"/>
    <s v="F"/>
    <d v="2022-02-12T00:00:00"/>
    <n v="1055"/>
    <n v="874"/>
    <s v="Cria da Fazenda"/>
    <x v="13"/>
    <m/>
    <d v="2023-01-12T00:00:00"/>
    <n v="6.02"/>
    <n v="2079"/>
  </r>
  <r>
    <s v="771"/>
    <n v="925"/>
    <s v="nel.branca"/>
    <s v="M"/>
    <d v="2022-02-13T00:00:00"/>
    <n v="1055"/>
    <n v="860"/>
    <s v="Cria da Fazenda"/>
    <x v="13"/>
    <m/>
    <d v="2023-01-12T00:00:00"/>
    <n v="6.02"/>
    <n v="2229"/>
  </r>
  <r>
    <s v="772"/>
    <n v="926"/>
    <s v="nel.branca"/>
    <s v="M"/>
    <d v="2022-02-13T00:00:00"/>
    <n v="1043"/>
    <n v="870"/>
    <s v="Cria da Fazenda"/>
    <x v="13"/>
    <m/>
    <d v="2023-01-12T00:00:00"/>
    <n v="6.02"/>
    <n v="2229"/>
  </r>
  <r>
    <s v="773"/>
    <n v="927"/>
    <s v="nel.branca"/>
    <s v="F"/>
    <d v="2022-02-20T00:00:00"/>
    <s v="DESC."/>
    <n v="1043"/>
    <s v="Cria da Fazenda"/>
    <x v="13"/>
    <m/>
    <d v="2023-01-12T00:00:00"/>
    <n v="6.02"/>
    <n v="2079"/>
  </r>
  <r>
    <s v="774"/>
    <n v="928"/>
    <s v="nel.branca"/>
    <s v="F"/>
    <d v="2022-03-26T00:00:00"/>
    <n v="1043"/>
    <n v="869"/>
    <s v="Cria da Fazenda"/>
    <x v="13"/>
    <m/>
    <d v="2023-01-12T00:00:00"/>
    <n v="6.02"/>
    <n v="2079"/>
  </r>
  <r>
    <s v="775"/>
    <n v="929"/>
    <s v="nel.branca"/>
    <s v="M"/>
    <d v="2022-03-28T00:00:00"/>
    <s v="DESC."/>
    <n v="1031"/>
    <s v="Cria da Fazenda"/>
    <x v="13"/>
    <m/>
    <d v="2023-01-12T00:00:00"/>
    <n v="6.02"/>
    <n v="2229"/>
  </r>
  <r>
    <s v="776"/>
    <n v="930"/>
    <s v="nel.branca"/>
    <s v="F"/>
    <d v="2022-04-06T00:00:00"/>
    <n v="1055"/>
    <n v="976"/>
    <s v="Cria da Fazenda"/>
    <x v="13"/>
    <m/>
    <d v="2023-01-12T00:00:00"/>
    <n v="6.02"/>
    <n v="2079"/>
  </r>
  <r>
    <s v="777"/>
    <n v="931"/>
    <s v="nel.branca"/>
    <s v="F"/>
    <d v="2022-05-10T00:00:00"/>
    <n v="1043"/>
    <n v="956"/>
    <s v="Cria da Fazenda"/>
    <x v="13"/>
    <m/>
    <d v="2023-01-12T00:00:00"/>
    <n v="6.02"/>
    <n v="2079"/>
  </r>
  <r>
    <s v="778"/>
    <n v="932"/>
    <s v="nel.castanha"/>
    <s v="F"/>
    <d v="2022-05-13T00:00:00"/>
    <n v="1043"/>
    <n v="974"/>
    <s v="Cria da Fazenda"/>
    <x v="13"/>
    <m/>
    <d v="2023-01-12T00:00:00"/>
    <n v="6.02"/>
    <n v="2079"/>
  </r>
  <r>
    <s v="779"/>
    <n v="933"/>
    <s v="nel.castanha"/>
    <s v="F"/>
    <d v="2022-05-14T00:00:00"/>
    <n v="1055"/>
    <n v="983"/>
    <s v="Cria da Fazenda"/>
    <x v="1"/>
    <s v="morr.estra-cod.umbilical"/>
    <m/>
    <m/>
    <m/>
  </r>
  <r>
    <s v="780"/>
    <n v="934"/>
    <s v="nel.branca"/>
    <s v="M"/>
    <d v="2022-05-17T00:00:00"/>
    <n v="1055"/>
    <n v="981"/>
    <s v="Cria da Fazenda"/>
    <x v="13"/>
    <m/>
    <d v="2023-01-12T00:00:00"/>
    <n v="6.02"/>
    <n v="2229"/>
  </r>
  <r>
    <s v="781"/>
    <n v="935"/>
    <s v="nel.branca"/>
    <s v="F"/>
    <d v="2022-07-05T00:00:00"/>
    <n v="1043"/>
    <n v="947"/>
    <s v="Cria da Fazenda"/>
    <x v="15"/>
    <s v="SUBMAT.Substituicao de Mat"/>
    <d v="2024-05-01T00:00:00"/>
    <m/>
    <m/>
  </r>
  <r>
    <s v="782"/>
    <n v="936"/>
    <s v="nel.branca"/>
    <s v="F"/>
    <d v="2022-07-29T00:00:00"/>
    <n v="1055"/>
    <n v="863"/>
    <s v="Cria da Fazenda"/>
    <x v="15"/>
    <s v="SUBMAT.Substituicao de Mat"/>
    <d v="2024-05-01T00:00:00"/>
    <m/>
    <m/>
  </r>
  <r>
    <s v="783"/>
    <n v="937"/>
    <s v="nel.branca"/>
    <s v="F"/>
    <d v="2022-07-31T00:00:00"/>
    <n v="1055"/>
    <n v="881"/>
    <s v="Cria da Fazenda"/>
    <x v="15"/>
    <s v="SUBMAT.Substituicao de Mat"/>
    <d v="2024-05-01T00:00:00"/>
    <m/>
    <m/>
  </r>
  <r>
    <s v="784"/>
    <n v="938"/>
    <s v="nel.branca"/>
    <s v="F"/>
    <d v="2022-08-10T00:00:00"/>
    <n v="1043"/>
    <n v="1010"/>
    <s v="Cria da Fazenda"/>
    <x v="15"/>
    <s v="SUBMAT.Substituicao de Mat"/>
    <d v="2024-05-01T00:00:00"/>
    <m/>
    <m/>
  </r>
  <r>
    <s v="785"/>
    <n v="939"/>
    <s v="nel.branca"/>
    <s v="F"/>
    <d v="2022-08-17T00:00:00"/>
    <n v="1043"/>
    <n v="1030"/>
    <s v="Cria da Fazenda"/>
    <x v="15"/>
    <s v="SUBMAT.Substituicao de Mat"/>
    <d v="2024-05-01T00:00:00"/>
    <m/>
    <m/>
  </r>
  <r>
    <s v="786"/>
    <n v="940"/>
    <s v="nel.branca"/>
    <s v="M"/>
    <d v="2022-08-19T00:00:00"/>
    <n v="1043"/>
    <n v="859"/>
    <s v="Cria da Fazenda"/>
    <x v="1"/>
    <s v="Morreu mordido p/cobra em"/>
    <d v="2023-06-07T00:00:00"/>
    <s v="no pasto06"/>
    <m/>
  </r>
  <r>
    <s v="787"/>
    <n v="941"/>
    <s v="nel.branca"/>
    <s v="F"/>
    <d v="2022-08-30T00:00:00"/>
    <n v="1043"/>
    <n v="1029"/>
    <s v="Cria da Fazenda"/>
    <x v="16"/>
    <s v="SUBMAT.Substituicao de Mat"/>
    <d v="2024-05-01T00:00:00"/>
    <m/>
    <m/>
  </r>
  <r>
    <s v="788"/>
    <n v="942"/>
    <s v="nel.branca"/>
    <s v="M"/>
    <d v="2022-09-05T00:00:00"/>
    <n v="1043"/>
    <n v="1025"/>
    <s v="Cria da Fazenda"/>
    <x v="5"/>
    <s v="SUBMAT.Substituicao de Mat"/>
    <d v="2023-10-25T00:00:00"/>
    <n v="6.3"/>
    <n v="1650"/>
  </r>
  <r>
    <s v="789"/>
    <n v="943"/>
    <s v="nel.branca"/>
    <s v="F"/>
    <d v="2022-09-06T00:00:00"/>
    <n v="1043"/>
    <n v="1027"/>
    <s v="Cria da Fazenda"/>
    <x v="15"/>
    <s v="SUBMAT.Substituicao de Mat"/>
    <d v="2024-05-01T00:00:00"/>
    <m/>
    <m/>
  </r>
  <r>
    <s v="790"/>
    <n v="944"/>
    <s v="nel.branca"/>
    <s v="F"/>
    <d v="2022-09-16T00:00:00"/>
    <n v="1043"/>
    <n v="1021"/>
    <s v="Cria da Fazenda"/>
    <x v="15"/>
    <s v="SUBMAT.Substituicao de Mat"/>
    <d v="2024-05-01T00:00:00"/>
    <m/>
    <m/>
  </r>
  <r>
    <s v="791"/>
    <n v="945"/>
    <s v="nel.branca"/>
    <s v="M"/>
    <d v="2022-09-17T00:00:00"/>
    <n v="1055"/>
    <n v="880"/>
    <s v="Cria da Fazenda"/>
    <x v="5"/>
    <m/>
    <d v="2023-10-25T00:00:00"/>
    <n v="6.3"/>
    <n v="1650"/>
  </r>
  <r>
    <s v="792"/>
    <n v="946"/>
    <s v="nel.branca"/>
    <s v="F"/>
    <d v="2022-09-19T00:00:00"/>
    <n v="1055"/>
    <n v="978"/>
    <s v="Cria da Fazenda"/>
    <x v="17"/>
    <s v="SUBMAT.Substituicao de Mat"/>
    <d v="2024-05-01T00:00:00"/>
    <m/>
    <m/>
  </r>
  <r>
    <s v="793"/>
    <n v="947"/>
    <s v="nel.branca"/>
    <s v="M"/>
    <d v="2022-09-26T00:00:00"/>
    <n v="1043"/>
    <n v="1028"/>
    <s v="Cria da Fazenda"/>
    <x v="5"/>
    <m/>
    <d v="2023-10-25T00:00:00"/>
    <n v="6.3"/>
    <n v="1650"/>
  </r>
  <r>
    <s v="794"/>
    <n v="948"/>
    <s v="nel.branca"/>
    <s v="M"/>
    <d v="2022-09-30T00:00:00"/>
    <n v="1055"/>
    <n v="984"/>
    <s v="Cria da Fazenda"/>
    <x v="5"/>
    <m/>
    <d v="2023-10-25T00:00:00"/>
    <n v="6.3"/>
    <n v="1650"/>
  </r>
  <r>
    <s v="795"/>
    <n v="949"/>
    <s v="nel.branca"/>
    <s v="F"/>
    <d v="2022-10-03T00:00:00"/>
    <n v="1043"/>
    <n v="1026"/>
    <s v="Cria da Fazenda"/>
    <x v="15"/>
    <s v="SUBMAT.Substituicao de Mat"/>
    <d v="2024-05-01T00:00:00"/>
    <m/>
    <m/>
  </r>
  <r>
    <s v="796"/>
    <n v="950"/>
    <s v="nel.branca"/>
    <s v="F"/>
    <d v="2022-10-06T00:00:00"/>
    <n v="1043"/>
    <n v="993"/>
    <s v="Cria da Fazenda"/>
    <x v="1"/>
    <s v="morreu em 07/10 de causa "/>
    <s v="desconhec."/>
    <m/>
    <m/>
  </r>
  <r>
    <s v="797"/>
    <n v="951"/>
    <s v="nel.branca"/>
    <s v="M"/>
    <d v="2022-10-06T00:00:00"/>
    <n v="1055"/>
    <n v="886"/>
    <s v="Cria da Fazenda"/>
    <x v="5"/>
    <m/>
    <d v="2023-10-25T00:00:00"/>
    <n v="6.3"/>
    <n v="1650"/>
  </r>
  <r>
    <s v="798"/>
    <n v="952"/>
    <s v="nel.castanha"/>
    <s v="F"/>
    <d v="2022-10-07T00:00:00"/>
    <n v="1055"/>
    <n v="1039"/>
    <s v="Cria da Fazenda"/>
    <x v="15"/>
    <s v="SUBMAT.Substituicao de Mat"/>
    <d v="2024-05-01T00:00:00"/>
    <m/>
    <m/>
  </r>
  <r>
    <s v="799"/>
    <n v="953"/>
    <s v="nel.pintado"/>
    <s v="M"/>
    <d v="2022-10-07T00:00:00"/>
    <n v="1043"/>
    <n v="959"/>
    <s v="Cria da Fazenda"/>
    <x v="5"/>
    <m/>
    <d v="2023-10-25T00:00:00"/>
    <n v="6.3"/>
    <n v="1650"/>
  </r>
  <r>
    <s v="800"/>
    <n v="954"/>
    <s v="nel.branca"/>
    <s v="M"/>
    <d v="2022-10-10T00:00:00"/>
    <n v="1043"/>
    <n v="964"/>
    <s v="Cria da Fazenda"/>
    <x v="5"/>
    <m/>
    <d v="2023-10-25T00:00:00"/>
    <n v="6.3"/>
    <n v="1650"/>
  </r>
  <r>
    <s v="801"/>
    <n v="955"/>
    <s v="nel.castanha"/>
    <s v="M"/>
    <d v="2022-10-11T00:00:00"/>
    <n v="1055"/>
    <n v="1037"/>
    <s v="Cria da Fazenda"/>
    <x v="5"/>
    <m/>
    <d v="2023-10-25T00:00:00"/>
    <n v="6.3"/>
    <n v="1650"/>
  </r>
  <r>
    <s v="802"/>
    <n v="956"/>
    <s v="nel.branca"/>
    <s v="F"/>
    <d v="2022-10-15T00:00:00"/>
    <n v="1043"/>
    <n v="1022"/>
    <s v="Cria da Fazenda"/>
    <x v="15"/>
    <s v="SUBMAT.Substituicao de Mat"/>
    <d v="2024-05-01T00:00:00"/>
    <m/>
    <m/>
  </r>
  <r>
    <s v="803"/>
    <n v="957"/>
    <s v="nel.branca"/>
    <s v="M"/>
    <d v="2022-10-15T00:00:00"/>
    <n v="1055"/>
    <n v="930"/>
    <s v="Cria da Fazenda"/>
    <x v="5"/>
    <m/>
    <d v="2023-10-25T00:00:00"/>
    <n v="6.3"/>
    <n v="1650"/>
  </r>
  <r>
    <s v="804"/>
    <n v="958"/>
    <s v="nel.branca"/>
    <s v="F"/>
    <d v="2022-10-16T00:00:00"/>
    <n v="1055"/>
    <n v="1011"/>
    <s v="Cria da Fazenda"/>
    <x v="15"/>
    <s v="SUBMAT.Substituicao de Mat"/>
    <d v="2024-05-01T00:00:00"/>
    <m/>
    <m/>
  </r>
  <r>
    <s v="805"/>
    <n v="959"/>
    <s v="nel.castanha"/>
    <s v="M"/>
    <d v="2022-10-17T00:00:00"/>
    <n v="1055"/>
    <n v="1033"/>
    <s v="Cria da Fazenda"/>
    <x v="5"/>
    <m/>
    <d v="2023-10-25T00:00:00"/>
    <n v="6.3"/>
    <n v="1650"/>
  </r>
  <r>
    <s v="806"/>
    <n v="960"/>
    <s v="nel.castanha"/>
    <s v="F"/>
    <d v="2022-10-17T00:00:00"/>
    <n v="1055"/>
    <n v="985"/>
    <s v="Cria da Fazenda"/>
    <x v="15"/>
    <s v="SUBMAT.Substituicao de Mat"/>
    <d v="2024-05-01T00:00:00"/>
    <m/>
    <m/>
  </r>
  <r>
    <s v="807"/>
    <n v="961"/>
    <s v="nel.castanha"/>
    <s v="F"/>
    <d v="2022-10-19T00:00:00"/>
    <n v="1043"/>
    <n v="1024"/>
    <s v="Cria da Fazenda"/>
    <x v="17"/>
    <s v="SUBMAT.Substituicao de Mat"/>
    <d v="2024-05-01T00:00:00"/>
    <m/>
    <m/>
  </r>
  <r>
    <s v="808"/>
    <n v="962"/>
    <s v="nel.branca"/>
    <s v="F"/>
    <d v="2022-10-26T00:00:00"/>
    <n v="1055"/>
    <n v="889"/>
    <s v="Cria da Fazenda"/>
    <x v="5"/>
    <m/>
    <d v="2024-04-19T00:00:00"/>
    <n v="6.8"/>
    <n v="1650"/>
  </r>
  <r>
    <s v="809"/>
    <n v="963"/>
    <s v="nel.branca"/>
    <s v="M"/>
    <d v="2022-11-01T00:00:00"/>
    <n v="1055"/>
    <n v="1042"/>
    <s v="Cria da Fazenda"/>
    <x v="5"/>
    <m/>
    <d v="2023-10-25T00:00:00"/>
    <n v="6.3"/>
    <n v="1650"/>
  </r>
  <r>
    <s v="810"/>
    <n v="964"/>
    <s v="nel.castanha"/>
    <s v="M"/>
    <d v="2022-11-10T00:00:00"/>
    <n v="1043"/>
    <n v="988"/>
    <s v="Cria da Fazenda"/>
    <x v="5"/>
    <m/>
    <d v="2023-10-25T00:00:00"/>
    <n v="6.3"/>
    <n v="1650"/>
  </r>
  <r>
    <s v="811"/>
    <n v="965"/>
    <s v="nel.branca"/>
    <s v="F"/>
    <d v="2022-11-11T00:00:00"/>
    <n v="1055"/>
    <n v="957"/>
    <s v="Cria da Fazenda"/>
    <x v="5"/>
    <m/>
    <d v="2024-04-19T00:00:00"/>
    <n v="6.8"/>
    <n v="1650"/>
  </r>
  <r>
    <s v="812"/>
    <n v="966"/>
    <s v="nel.branca"/>
    <s v="F"/>
    <d v="2022-11-13T00:00:00"/>
    <n v="1055"/>
    <n v="931"/>
    <s v="Cria da Fazenda"/>
    <x v="1"/>
    <s v="mor.no dia 15/11 deb.devido pisada na "/>
    <m/>
    <m/>
    <m/>
  </r>
  <r>
    <s v="813"/>
    <n v="967"/>
    <s v="nel.branca"/>
    <s v="F"/>
    <d v="2022-11-15T00:00:00"/>
    <n v="1043"/>
    <n v="963"/>
    <s v="Cria da Fazenda"/>
    <x v="5"/>
    <m/>
    <d v="2024-04-19T00:00:00"/>
    <n v="6.8"/>
    <n v="1646"/>
  </r>
  <r>
    <s v="814"/>
    <n v="968"/>
    <s v="nel.branca"/>
    <s v="M"/>
    <d v="2022-11-15T00:00:00"/>
    <n v="1055"/>
    <n v="973"/>
    <s v="Cria da Fazenda"/>
    <x v="5"/>
    <m/>
    <d v="2023-10-25T00:00:00"/>
    <n v="6.8"/>
    <n v="1650"/>
  </r>
  <r>
    <s v="815"/>
    <n v="969"/>
    <s v="nel.branca"/>
    <s v="M"/>
    <d v="2022-11-20T00:00:00"/>
    <n v="1055"/>
    <n v="1036"/>
    <s v="Cria da Fazenda"/>
    <x v="5"/>
    <m/>
    <d v="2023-10-25T00:00:00"/>
    <n v="6.3"/>
    <n v="1650"/>
  </r>
  <r>
    <s v="816"/>
    <n v="970"/>
    <s v="nel.branca"/>
    <s v="M"/>
    <d v="2022-11-21T00:00:00"/>
    <n v="1055"/>
    <n v="1038"/>
    <s v="Cria da Fazenda"/>
    <x v="5"/>
    <m/>
    <d v="2023-10-25T00:00:00"/>
    <n v="6.3"/>
    <n v="1650"/>
  </r>
  <r>
    <s v="817"/>
    <n v="971"/>
    <s v="nel.branca"/>
    <s v="F"/>
    <d v="2022-11-22T00:00:00"/>
    <n v="1055"/>
    <n v="977"/>
    <s v="Cria da Fazenda"/>
    <x v="18"/>
    <m/>
    <d v="2023-09-18T00:00:00"/>
    <n v="5.8"/>
    <n v="1566"/>
  </r>
  <r>
    <s v="818"/>
    <n v="972"/>
    <s v="nel.branca"/>
    <s v="F"/>
    <d v="2022-11-22T00:00:00"/>
    <n v="1055"/>
    <n v="1040"/>
    <s v="Cria da Fazenda"/>
    <x v="5"/>
    <m/>
    <d v="2024-04-19T00:00:00"/>
    <n v="6.8"/>
    <n v="1646"/>
  </r>
  <r>
    <s v="819"/>
    <n v="973"/>
    <s v="nel.branca"/>
    <s v="F"/>
    <d v="2022-11-28T00:00:00"/>
    <n v="1043"/>
    <n v="862"/>
    <s v="Cria da Fazenda"/>
    <x v="5"/>
    <m/>
    <d v="2024-04-19T00:00:00"/>
    <n v="6.8"/>
    <n v="1646"/>
  </r>
  <r>
    <s v="820"/>
    <n v="974"/>
    <s v="nel.branca"/>
    <s v="F"/>
    <d v="2022-11-29T00:00:00"/>
    <n v="1055"/>
    <n v="885"/>
    <s v="Cria da Fazenda"/>
    <x v="5"/>
    <m/>
    <d v="2024-04-19T00:00:00"/>
    <n v="6.8"/>
    <n v="1646"/>
  </r>
  <r>
    <s v="821"/>
    <n v="975"/>
    <s v="nel.branca"/>
    <s v="M"/>
    <d v="2022-12-01T00:00:00"/>
    <n v="1055"/>
    <n v="867"/>
    <s v="Cria da Fazenda"/>
    <x v="5"/>
    <m/>
    <d v="2023-10-25T00:00:00"/>
    <n v="6.3"/>
    <n v="1650"/>
  </r>
  <r>
    <s v="822"/>
    <n v="976"/>
    <s v="nel.castanha"/>
    <s v="F"/>
    <d v="2022-12-02T00:00:00"/>
    <n v="1043"/>
    <n v="1023"/>
    <s v="Cria da Fazenda"/>
    <x v="5"/>
    <m/>
    <d v="2024-04-19T00:00:00"/>
    <n v="6.8"/>
    <n v="1646"/>
  </r>
  <r>
    <s v="823"/>
    <n v="977"/>
    <s v="nel.castanha"/>
    <s v="M"/>
    <d v="2022-12-02T00:00:00"/>
    <n v="1055"/>
    <n v="873"/>
    <s v="Cria da Fazenda"/>
    <x v="5"/>
    <m/>
    <d v="2023-10-25T00:00:00"/>
    <n v="6.3"/>
    <n v="1650"/>
  </r>
  <r>
    <s v="824"/>
    <n v="978"/>
    <s v="nel.branca"/>
    <s v="M"/>
    <d v="2022-12-04T00:00:00"/>
    <n v="1043"/>
    <n v="858"/>
    <s v="Cria da Fazenda"/>
    <x v="5"/>
    <m/>
    <d v="2023-10-25T00:00:00"/>
    <n v="6.3"/>
    <n v="1650"/>
  </r>
  <r>
    <s v="825"/>
    <n v="979"/>
    <s v="nel.branca"/>
    <s v="F"/>
    <d v="2022-12-09T00:00:00"/>
    <n v="1055"/>
    <n v="899"/>
    <s v="Cria da Fazenda"/>
    <x v="5"/>
    <m/>
    <d v="2024-04-19T00:00:00"/>
    <n v="6.8"/>
    <n v="1646"/>
  </r>
  <r>
    <s v="826"/>
    <n v="980"/>
    <s v="nel.branca"/>
    <s v="M"/>
    <d v="2022-12-10T00:00:00"/>
    <n v="1055"/>
    <n v="1035"/>
    <s v="Cria da Fazenda"/>
    <x v="5"/>
    <m/>
    <d v="2023-10-25T00:00:00"/>
    <n v="6.3"/>
    <n v="1650"/>
  </r>
  <r>
    <s v="827"/>
    <n v="981"/>
    <s v="nel.branca"/>
    <s v="M"/>
    <d v="2022-12-17T00:00:00"/>
    <n v="1043"/>
    <n v="1009"/>
    <s v="Cria da Fazenda"/>
    <x v="1"/>
    <s v="morreu em 18/12/22  p/causa desconhecida"/>
    <m/>
    <m/>
    <m/>
  </r>
  <r>
    <s v="828"/>
    <n v="982"/>
    <s v="nel.branca"/>
    <s v="M"/>
    <d v="2022-12-22T00:00:00"/>
    <n v="1055"/>
    <n v="967"/>
    <s v="Cria da Fazenda"/>
    <x v="5"/>
    <m/>
    <d v="2023-10-25T00:00:00"/>
    <n v="6.3"/>
    <n v="1650"/>
  </r>
  <r>
    <s v="829"/>
    <n v="983"/>
    <s v="nel.branca"/>
    <s v="F"/>
    <d v="2022-12-23T00:00:00"/>
    <n v="1055"/>
    <n v="1012"/>
    <s v="Cria da Fazenda"/>
    <x v="18"/>
    <m/>
    <d v="2023-09-18T00:00:00"/>
    <n v="5.8"/>
    <n v="1566"/>
  </r>
  <r>
    <s v="830"/>
    <n v="984"/>
    <s v="nel.branca"/>
    <s v="F"/>
    <d v="2022-12-26T00:00:00"/>
    <n v="1055"/>
    <n v="943"/>
    <s v="Cria da Fazenda"/>
    <x v="1"/>
    <s v="morreu em 15/01 devido ane"/>
    <s v="mia/falta de "/>
    <s v="leite na mae"/>
    <m/>
  </r>
  <r>
    <s v="831"/>
    <n v="985"/>
    <s v="nel.branca"/>
    <s v="M"/>
    <d v="2022-12-31T00:00:00"/>
    <n v="1055"/>
    <n v="1045"/>
    <s v="Cria da Fazenda"/>
    <x v="5"/>
    <m/>
    <d v="2023-10-25T00:00:00"/>
    <n v="6.3"/>
    <n v="1650"/>
  </r>
  <r>
    <s v="832"/>
    <n v="986"/>
    <s v="nel.branca"/>
    <s v="F"/>
    <d v="2023-01-02T00:00:00"/>
    <n v="1055"/>
    <n v="969"/>
    <s v="Cria da Fazenda"/>
    <x v="5"/>
    <m/>
    <d v="2024-04-19T00:00:00"/>
    <n v="6.8"/>
    <n v="1646"/>
  </r>
  <r>
    <s v="833"/>
    <n v="987"/>
    <s v="nel.castanha"/>
    <s v="M"/>
    <d v="2022-01-08T00:00:00"/>
    <n v="1043"/>
    <n v="854"/>
    <s v="Cria da Fazenda"/>
    <x v="5"/>
    <m/>
    <d v="2024-04-19T00:00:00"/>
    <n v="6.8"/>
    <n v="1646"/>
  </r>
  <r>
    <s v="834"/>
    <n v="988"/>
    <s v="nel.branca"/>
    <s v="M"/>
    <d v="2023-01-13T00:00:00"/>
    <n v="1043"/>
    <n v="884"/>
    <s v="Cria da Fazenda"/>
    <x v="1"/>
    <s v="morreu em conseq.parto pre"/>
    <s v="maturo em"/>
    <d v="2023-01-14T00:00:00"/>
    <m/>
  </r>
  <r>
    <s v="835"/>
    <n v="989"/>
    <s v="nel.branca"/>
    <s v="F"/>
    <d v="2023-01-17T00:00:00"/>
    <n v="1055"/>
    <n v="894"/>
    <s v="Cria da Fazenda"/>
    <x v="5"/>
    <m/>
    <d v="2024-04-19T00:00:00"/>
    <n v="6.8"/>
    <n v="1646"/>
  </r>
  <r>
    <s v="836"/>
    <n v="990"/>
    <s v="nel.branca"/>
    <s v="F"/>
    <d v="2023-01-25T00:00:00"/>
    <n v="1055"/>
    <n v="945"/>
    <s v="Cria da Fazenda"/>
    <x v="5"/>
    <m/>
    <d v="2024-04-19T00:00:00"/>
    <n v="6.8"/>
    <n v="1646"/>
  </r>
  <r>
    <s v="837"/>
    <n v="991"/>
    <s v="nel.castanha"/>
    <s v="F"/>
    <d v="2023-01-27T00:00:00"/>
    <n v="1055"/>
    <n v="934"/>
    <s v="Cria da Fazenda"/>
    <x v="5"/>
    <m/>
    <d v="2024-04-19T00:00:00"/>
    <n v="6.8"/>
    <n v="1646"/>
  </r>
  <r>
    <s v="838"/>
    <n v="992"/>
    <s v="nel.branca"/>
    <s v="M"/>
    <d v="2023-01-29T00:00:00"/>
    <n v="1055"/>
    <n v="980"/>
    <s v="Cria da Fazenda"/>
    <x v="5"/>
    <m/>
    <d v="2023-10-25T00:00:00"/>
    <n v="6.3"/>
    <n v="1650"/>
  </r>
  <r>
    <s v="839"/>
    <n v="993"/>
    <s v="nel.branca"/>
    <s v="M"/>
    <d v="2023-01-30T00:00:00"/>
    <n v="1055"/>
    <n v="958"/>
    <s v="Cria da Fazenda"/>
    <x v="5"/>
    <m/>
    <d v="2023-10-25T00:00:00"/>
    <n v="6.3"/>
    <n v="1650"/>
  </r>
  <r>
    <s v="840"/>
    <n v="994"/>
    <s v="nel.branca"/>
    <s v="M"/>
    <d v="2023-02-19T00:00:00"/>
    <n v="1055"/>
    <n v="966"/>
    <s v="Cria da Fazenda"/>
    <x v="18"/>
    <m/>
    <d v="2023-09-18T00:00:00"/>
    <n v="5.8"/>
    <n v="1566"/>
  </r>
  <r>
    <s v="841"/>
    <n v="995"/>
    <s v="nel.castanha"/>
    <s v="M"/>
    <d v="2023-03-03T00:00:00"/>
    <n v="1043"/>
    <n v="939"/>
    <s v="Cria da Fazenda"/>
    <x v="5"/>
    <m/>
    <d v="2023-10-25T00:00:00"/>
    <n v="6.3"/>
    <n v="1650"/>
  </r>
  <r>
    <s v="842"/>
    <n v="996"/>
    <s v="nel.branca"/>
    <s v="F"/>
    <d v="2023-03-04T00:00:00"/>
    <n v="1043"/>
    <n v="992"/>
    <s v="Cria da Fazenda"/>
    <x v="5"/>
    <m/>
    <d v="2024-08-18T00:00:00"/>
    <n v="6.1"/>
    <n v="1367"/>
  </r>
  <r>
    <s v="843"/>
    <n v="997"/>
    <s v="nel.branca"/>
    <s v="M"/>
    <d v="2023-03-08T00:00:00"/>
    <n v="1043"/>
    <n v="936"/>
    <s v="Cria da Fazenda"/>
    <x v="5"/>
    <m/>
    <d v="2024-04-19T00:00:00"/>
    <n v="6.8"/>
    <n v="1646"/>
  </r>
  <r>
    <s v="844"/>
    <n v="998"/>
    <s v="nel.branca"/>
    <s v="M"/>
    <d v="2023-04-29T00:00:00"/>
    <n v="1055"/>
    <n v="961"/>
    <s v="Cria da Fazenda"/>
    <x v="1"/>
    <s v="queb.perna ficando de debi"/>
    <s v="litado"/>
    <s v="xxxxx"/>
    <s v="xxxxx"/>
  </r>
  <r>
    <s v="845"/>
    <n v="999"/>
    <s v="nel.branca"/>
    <s v="F"/>
    <d v="2023-07-04T00:00:00"/>
    <n v="1055"/>
    <n v="987"/>
    <s v="Cria da Fazenda"/>
    <x v="5"/>
    <m/>
    <d v="2024-08-18T00:00:00"/>
    <n v="6.1"/>
    <n v="1367"/>
  </r>
  <r>
    <s v="846"/>
    <n v="1000"/>
    <s v="nel.castanha"/>
    <s v="M"/>
    <d v="2023-07-06T00:00:00"/>
    <n v="1055"/>
    <n v="876"/>
    <s v="Cria da Fazenda"/>
    <x v="5"/>
    <m/>
    <d v="2024-04-19T00:00:00"/>
    <n v="6.8"/>
    <n v="1646"/>
  </r>
  <r>
    <s v="847"/>
    <n v="1001"/>
    <s v="nel.branca"/>
    <s v="M"/>
    <d v="2023-07-06T00:00:00"/>
    <n v="1055"/>
    <n v="1041"/>
    <s v="Cria da Fazenda"/>
    <x v="5"/>
    <m/>
    <d v="2024-04-19T00:00:00"/>
    <n v="6.8"/>
    <n v="1646"/>
  </r>
  <r>
    <s v="848"/>
    <n v="1002"/>
    <s v="nel.branca"/>
    <s v="F"/>
    <d v="2023-07-19T00:00:00"/>
    <n v="1043"/>
    <n v="881"/>
    <s v="Cria da Fazenda"/>
    <x v="5"/>
    <m/>
    <d v="2024-08-18T00:00:00"/>
    <n v="6.1"/>
    <n v="1367"/>
  </r>
  <r>
    <s v="849"/>
    <n v="1003"/>
    <s v="nel.branca"/>
    <s v="M"/>
    <d v="2023-08-08T00:00:00"/>
    <n v="1055"/>
    <n v="1043"/>
    <s v="Cria da Fazenda"/>
    <x v="5"/>
    <m/>
    <d v="2024-04-19T00:00:00"/>
    <n v="6.8"/>
    <n v="1646"/>
  </r>
  <r>
    <s v="850"/>
    <n v="1004"/>
    <s v="nel.castanha"/>
    <s v="F"/>
    <d v="2023-08-12T00:00:00"/>
    <n v="1055"/>
    <n v="1046"/>
    <s v="Cria da Fazenda"/>
    <x v="5"/>
    <m/>
    <d v="2024-08-18T00:00:00"/>
    <n v="6.1"/>
    <n v="1367"/>
  </r>
  <r>
    <s v="851"/>
    <n v="1005"/>
    <s v="nel.castanha"/>
    <s v="M"/>
    <d v="2023-08-16T00:00:00"/>
    <n v="1055"/>
    <n v="1032"/>
    <s v="Cria da Fazenda"/>
    <x v="5"/>
    <m/>
    <d v="2024-04-19T00:00:00"/>
    <n v="6.8"/>
    <n v="1646"/>
  </r>
  <r>
    <s v="852"/>
    <n v="1006"/>
    <s v="nel.branca"/>
    <s v="M"/>
    <d v="2023-08-17T00:00:00"/>
    <n v="1055"/>
    <n v="990"/>
    <s v="Cria da Fazenda"/>
    <x v="5"/>
    <m/>
    <d v="2024-04-19T00:00:00"/>
    <n v="6.8"/>
    <n v="1646"/>
  </r>
  <r>
    <s v="853"/>
    <n v="1007"/>
    <s v="nel.branca"/>
    <s v="M"/>
    <d v="2023-08-22T00:00:00"/>
    <n v="1043"/>
    <n v="1010"/>
    <s v="Cria da Fazenda"/>
    <x v="5"/>
    <m/>
    <d v="2024-04-19T00:00:00"/>
    <n v="6.8"/>
    <n v="1646"/>
  </r>
  <r>
    <s v="854"/>
    <n v="1008"/>
    <s v="nel.branca"/>
    <s v="F"/>
    <d v="2023-08-25T00:00:00"/>
    <n v="1055"/>
    <n v="1044"/>
    <s v="Cria da Fazenda"/>
    <x v="5"/>
    <m/>
    <d v="2024-08-18T00:00:00"/>
    <n v="6.1"/>
    <n v="1367"/>
  </r>
  <r>
    <s v="855"/>
    <n v="1009"/>
    <s v="nel.branca"/>
    <s v="M"/>
    <d v="2023-08-27T00:00:00"/>
    <n v="1043"/>
    <n v="874"/>
    <s v="Cria da Fazenda"/>
    <x v="5"/>
    <m/>
    <d v="2024-04-19T00:00:00"/>
    <n v="6.8"/>
    <n v="1646"/>
  </r>
  <r>
    <s v="856"/>
    <n v="1010"/>
    <s v="nel.branca"/>
    <s v="M"/>
    <d v="2023-08-27T00:00:00"/>
    <n v="1055"/>
    <n v="976"/>
    <s v="Cria da Fazenda"/>
    <x v="5"/>
    <m/>
    <d v="2024-04-19T00:00:00"/>
    <n v="6.8"/>
    <n v="1646"/>
  </r>
  <r>
    <s v="857"/>
    <n v="1011"/>
    <s v="nel.branca"/>
    <s v="F"/>
    <d v="2023-09-04T00:00:00"/>
    <n v="1055"/>
    <n v="1037"/>
    <s v="Cria da Fazenda"/>
    <x v="5"/>
    <m/>
    <d v="2024-08-18T00:00:00"/>
    <n v="6.1"/>
    <n v="1367"/>
  </r>
  <r>
    <s v="858"/>
    <n v="1012"/>
    <s v="nel.branca"/>
    <s v="F"/>
    <d v="2023-09-05T00:00:00"/>
    <n v="1055"/>
    <n v="933"/>
    <s v="Cria da Fazenda"/>
    <x v="5"/>
    <m/>
    <d v="2024-08-18T00:00:00"/>
    <n v="6.1"/>
    <n v="1367"/>
  </r>
  <r>
    <s v="859"/>
    <n v="1013"/>
    <s v="nel.branca"/>
    <s v="M"/>
    <d v="2023-09-11T00:00:00"/>
    <n v="1055"/>
    <n v="893"/>
    <s v="Cria da Fazenda"/>
    <x v="5"/>
    <m/>
    <d v="2024-04-19T00:00:00"/>
    <n v="6.8"/>
    <n v="1646"/>
  </r>
  <r>
    <s v="860"/>
    <n v="1014"/>
    <s v="nel.castanha"/>
    <s v="M"/>
    <d v="2023-09-15T00:00:00"/>
    <n v="1055"/>
    <n v="964"/>
    <s v="Cria da Fazenda"/>
    <x v="5"/>
    <m/>
    <d v="2024-08-18T00:00:00"/>
    <n v="6.1"/>
    <n v="1367"/>
  </r>
  <r>
    <s v="861"/>
    <n v="1015"/>
    <s v="nel.castanha"/>
    <s v="M"/>
    <d v="2023-09-16T00:00:00"/>
    <n v="1055"/>
    <n v="1011"/>
    <s v="Cria da Fazenda"/>
    <x v="5"/>
    <m/>
    <d v="2024-08-18T00:00:00"/>
    <n v="6.1"/>
    <n v="1367"/>
  </r>
  <r>
    <s v="862"/>
    <n v="1016"/>
    <s v="nel.branca"/>
    <s v="M"/>
    <d v="2023-09-16T00:00:00"/>
    <n v="1055"/>
    <n v="974"/>
    <s v="Cria da Fazenda"/>
    <x v="5"/>
    <m/>
    <d v="2024-08-18T00:00:00"/>
    <n v="6.1"/>
    <n v="1367"/>
  </r>
  <r>
    <s v="863"/>
    <n v="1017"/>
    <s v="nel.castanha"/>
    <s v="M"/>
    <d v="2023-09-27T00:00:00"/>
    <n v="1055"/>
    <n v="865"/>
    <s v="Cria da Fazenda"/>
    <x v="19"/>
    <m/>
    <d v="2023-09-30T00:00:00"/>
    <n v="2.5"/>
    <n v="400"/>
  </r>
  <r>
    <s v="864"/>
    <n v="1018"/>
    <s v="nel.branca"/>
    <s v="F"/>
    <d v="2023-10-08T00:00:00"/>
    <n v="1055"/>
    <n v="981"/>
    <s v="Cria da Fazenda"/>
    <x v="5"/>
    <m/>
    <d v="2024-08-18T00:00:00"/>
    <n v="6.01"/>
    <n v="1367"/>
  </r>
  <r>
    <s v="865"/>
    <n v="1019"/>
    <s v="nel.branca"/>
    <s v="F"/>
    <d v="2023-10-08T00:00:00"/>
    <n v="1055"/>
    <n v="926"/>
    <s v="Cria da Fazenda"/>
    <x v="5"/>
    <m/>
    <d v="2024-08-18T00:00:00"/>
    <n v="6.1"/>
    <n v="1367"/>
  </r>
  <r>
    <s v="866"/>
    <n v="1020"/>
    <s v="nel.branca"/>
    <s v="F"/>
    <d v="2023-10-17T00:00:00"/>
    <n v="1055"/>
    <n v="1020"/>
    <s v="Cria da Fazenda"/>
    <x v="5"/>
    <m/>
    <d v="2024-08-18T00:00:00"/>
    <n v="6.1"/>
    <n v="1367"/>
  </r>
  <r>
    <s v="867"/>
    <n v="1021"/>
    <s v="nel.branca"/>
    <s v="M"/>
    <d v="2023-10-22T00:00:00"/>
    <n v="978"/>
    <n v="860"/>
    <s v="Cria da Fazenda"/>
    <x v="5"/>
    <m/>
    <d v="2024-08-18T00:00:00"/>
    <n v="6.1"/>
    <n v="1367"/>
  </r>
  <r>
    <s v="868"/>
    <n v="1022"/>
    <s v="nel.branca"/>
    <s v="F"/>
    <d v="2023-10-26T00:00:00"/>
    <n v="1055"/>
    <n v="978"/>
    <s v="Cria da Fazenda"/>
    <x v="5"/>
    <m/>
    <d v="2024-08-18T00:00:00"/>
    <n v="6.1"/>
    <n v="1367"/>
  </r>
  <r>
    <s v="869"/>
    <n v="1023"/>
    <s v="nel.branca"/>
    <s v="M"/>
    <d v="2023-10-29T00:00:00"/>
    <n v="1043"/>
    <n v="1009"/>
    <s v="Cria da Fazenda"/>
    <x v="5"/>
    <m/>
    <d v="2024-08-18T00:00:00"/>
    <n v="6.1"/>
    <n v="1367"/>
  </r>
  <r>
    <s v="870"/>
    <n v="1024"/>
    <s v="nel.branca"/>
    <s v="M"/>
    <d v="2023-11-02T00:00:00"/>
    <n v="1043"/>
    <n v="956"/>
    <s v="Cria da Fazenda"/>
    <x v="5"/>
    <m/>
    <d v="2024-08-18T00:00:00"/>
    <n v="6.1"/>
    <n v="1367"/>
  </r>
  <r>
    <s v="871"/>
    <n v="1025"/>
    <s v="nel.branca"/>
    <s v="F"/>
    <d v="2023-12-05T00:00:00"/>
    <n v="1055"/>
    <n v="1031"/>
    <s v="Cria da Fazenda"/>
    <x v="5"/>
    <m/>
    <d v="2024-08-18T00:00:00"/>
    <n v="6.1"/>
    <n v="1367"/>
  </r>
  <r>
    <s v="872"/>
    <n v="1026"/>
    <s v="nel.branca"/>
    <s v="F"/>
    <d v="2023-12-21T00:00:00"/>
    <n v="1055"/>
    <n v="1038"/>
    <s v="Cria da Fazenda"/>
    <x v="5"/>
    <m/>
    <d v="2024-08-18T00:00:00"/>
    <n v="6.1"/>
    <n v="1367"/>
  </r>
  <r>
    <s v="873"/>
    <n v="1027"/>
    <s v="nel.castanha"/>
    <s v="M"/>
    <d v="2023-12-29T00:00:00"/>
    <n v="1055"/>
    <n v="947"/>
    <s v="Cria da Fazenda"/>
    <x v="19"/>
    <m/>
    <d v="2024-03-22T00:00:00"/>
    <n v="1.5"/>
    <n v="400"/>
  </r>
  <r>
    <s v="874"/>
    <n v="1028"/>
    <s v="nel.branca"/>
    <s v="F"/>
    <d v="2023-12-29T00:00:00"/>
    <n v="1055"/>
    <n v="988"/>
    <s v="Cria da Fazenda"/>
    <x v="5"/>
    <m/>
    <d v="2024-08-18T00:00:00"/>
    <n v="6.1"/>
    <n v="1367"/>
  </r>
  <r>
    <s v="875"/>
    <n v="1029"/>
    <s v="nel.castanha"/>
    <s v="F"/>
    <d v="2024-01-04T00:00:00"/>
    <n v="1043"/>
    <n v="984"/>
    <s v="Cria da Fazenda"/>
    <x v="5"/>
    <m/>
    <d v="2024-11-01T00:00:00"/>
    <n v="5.2"/>
    <n v="1579"/>
  </r>
  <r>
    <s v="876"/>
    <n v="1030"/>
    <s v="nel.branca"/>
    <s v="M"/>
    <d v="2024-01-11T00:00:00"/>
    <n v="1043"/>
    <n v="985"/>
    <s v="Cria da Fazenda"/>
    <x v="5"/>
    <m/>
    <d v="2024-08-18T00:00:00"/>
    <n v="6.1"/>
    <n v="1367"/>
  </r>
  <r>
    <s v="877"/>
    <n v="1031"/>
    <s v="nel.branca"/>
    <s v="F"/>
    <d v="2024-01-17T00:00:00"/>
    <n v="1055"/>
    <n v="993"/>
    <s v="Cria da Fazenda"/>
    <x v="5"/>
    <m/>
    <d v="2024-11-01T00:00:00"/>
    <n v="5.2"/>
    <n v="1579"/>
  </r>
  <r>
    <s v="878"/>
    <n v="1032"/>
    <s v="nel.castanha"/>
    <s v="M"/>
    <d v="2024-01-21T00:00:00"/>
    <n v="1055"/>
    <n v="967"/>
    <s v="Cria da Fazenda"/>
    <x v="5"/>
    <m/>
    <d v="2024-08-18T00:00:00"/>
    <n v="6.1"/>
    <n v="1367"/>
  </r>
  <r>
    <s v="879"/>
    <n v="1033"/>
    <s v="nel.branca"/>
    <s v="F"/>
    <d v="2024-01-27T00:00:00"/>
    <n v="1055"/>
    <n v="959"/>
    <s v="Cria da Fazenda"/>
    <x v="5"/>
    <m/>
    <d v="2024-11-01T00:00:00"/>
    <n v="5.2"/>
    <n v="1579"/>
  </r>
  <r>
    <s v="880"/>
    <n v="1034"/>
    <s v="nel.castanha"/>
    <s v="M"/>
    <d v="2024-01-29T00:00:00"/>
    <n v="1055"/>
    <n v="973"/>
    <s v="Cria da Fazenda"/>
    <x v="5"/>
    <m/>
    <d v="2024-11-01T00:00:00"/>
    <n v="5.2"/>
    <n v="1579"/>
  </r>
  <r>
    <s v="881"/>
    <n v="1035"/>
    <s v="nel.castanha"/>
    <s v="M"/>
    <d v="2024-02-07T00:00:00"/>
    <n v="1055"/>
    <n v="930"/>
    <s v="Cria da Fazenda"/>
    <x v="5"/>
    <m/>
    <d v="2024-11-01T00:00:00"/>
    <n v="5.2"/>
    <n v="1579"/>
  </r>
  <r>
    <s v="882"/>
    <n v="1036"/>
    <s v="nel.branca"/>
    <s v="M"/>
    <d v="2024-02-13T00:00:00"/>
    <n v="1043"/>
    <n v="859"/>
    <s v="Cria da Fazenda"/>
    <x v="5"/>
    <m/>
    <d v="2024-11-01T00:00:00"/>
    <n v="5.2"/>
    <n v="1579"/>
  </r>
  <r>
    <s v="883"/>
    <n v="1037"/>
    <s v="nel.castanha"/>
    <s v="M"/>
    <d v="2024-02-19T00:00:00"/>
    <n v="1055"/>
    <n v="963"/>
    <s v="Cria da Fazenda"/>
    <x v="5"/>
    <m/>
    <d v="2024-11-01T00:00:00"/>
    <n v="5.2"/>
    <n v="1579"/>
  </r>
  <r>
    <s v="884"/>
    <n v="1038"/>
    <s v="nel.branca"/>
    <s v="M"/>
    <d v="2024-02-20T00:00:00"/>
    <n v="1043"/>
    <n v="943"/>
    <s v="Cria da Fazenda"/>
    <x v="1"/>
    <s v="deb.26/02/24-vac seca"/>
    <s v="p/descarte"/>
    <m/>
    <m/>
  </r>
  <r>
    <s v="885"/>
    <n v="1039"/>
    <s v="nel.branca"/>
    <s v="F"/>
    <d v="2024-03-06T00:00:00"/>
    <n v="1055"/>
    <n v="980"/>
    <s v="Cria da Fazenda"/>
    <x v="5"/>
    <m/>
    <d v="2024-11-01T00:00:00"/>
    <n v="5.2"/>
    <n v="1579"/>
  </r>
  <r>
    <s v="886"/>
    <n v="1040"/>
    <s v="nel.branca"/>
    <s v="M"/>
    <d v="2024-03-07T00:00:00"/>
    <n v="1055"/>
    <n v="1012"/>
    <s v="Cria da Fazenda"/>
    <x v="5"/>
    <m/>
    <d v="2024-11-01T00:00:00"/>
    <n v="5.2"/>
    <n v="1579"/>
  </r>
  <r>
    <s v="887"/>
    <n v="1041"/>
    <s v="nel.branca"/>
    <s v="M"/>
    <d v="2024-03-16T00:00:00"/>
    <n v="1043"/>
    <n v="957"/>
    <s v="Cria da Fazenda"/>
    <x v="5"/>
    <m/>
    <d v="2024-11-01T00:00:00"/>
    <n v="5.2"/>
    <n v="1579"/>
  </r>
  <r>
    <s v="888"/>
    <n v="1042"/>
    <s v="nel.branca"/>
    <s v="M"/>
    <d v="2024-03-18T00:00:00"/>
    <n v="1055"/>
    <n v="1033"/>
    <s v="Cria da Fazenda"/>
    <x v="5"/>
    <m/>
    <d v="2024-11-01T00:00:00"/>
    <n v="5.2"/>
    <n v="1579"/>
  </r>
  <r>
    <s v="889"/>
    <n v="1043"/>
    <s v="nel.branca"/>
    <s v="M"/>
    <d v="2024-03-18T00:00:00"/>
    <n v="1055"/>
    <n v="873"/>
    <s v="Cria da Fazenda"/>
    <x v="5"/>
    <m/>
    <d v="2024-11-01T00:00:00"/>
    <n v="5.2"/>
    <n v="1579"/>
  </r>
  <r>
    <s v="890"/>
    <n v="1044"/>
    <s v="nel.branca"/>
    <s v="M"/>
    <d v="2024-04-01T00:00:00"/>
    <n v="1043"/>
    <n v="1030"/>
    <s v="Cria da Fazenda"/>
    <x v="5"/>
    <m/>
    <d v="2024-11-01T00:00:00"/>
    <n v="5.2"/>
    <n v="1579"/>
  </r>
  <r>
    <s v="891"/>
    <n v="1045"/>
    <s v="nel.branca"/>
    <s v="F"/>
    <d v="2024-04-07T00:00:00"/>
    <n v="1055"/>
    <n v="958"/>
    <s v="Cria da Fazenda"/>
    <x v="5"/>
    <m/>
    <d v="2024-11-01T00:00:00"/>
    <n v="5.2"/>
    <n v="1579"/>
  </r>
  <r>
    <s v="892"/>
    <n v="1046"/>
    <s v="nel.branca"/>
    <s v="M"/>
    <d v="2024-04-11T00:00:00"/>
    <n v="1043"/>
    <n v="931"/>
    <s v="Cria da Fazenda"/>
    <x v="5"/>
    <m/>
    <d v="2024-11-01T00:00:00"/>
    <n v="5.2"/>
    <n v="1579"/>
  </r>
  <r>
    <s v="893"/>
    <n v="1047"/>
    <s v="nel.branca"/>
    <s v="F"/>
    <d v="2024-04-15T00:00:00"/>
    <n v="1043"/>
    <n v="1042"/>
    <s v="Cria da Fazenda"/>
    <x v="5"/>
    <m/>
    <d v="2024-11-01T00:00:00"/>
    <n v="5.2"/>
    <n v="1579"/>
  </r>
  <r>
    <s v="894"/>
    <n v="1048"/>
    <s v="nel.branca"/>
    <s v="F"/>
    <d v="2024-04-17T00:00:00"/>
    <n v="1055"/>
    <n v="867"/>
    <s v="Cria da Fazenda"/>
    <x v="5"/>
    <m/>
    <d v="2024-11-01T00:00:00"/>
    <n v="5.2"/>
    <n v="1579"/>
  </r>
  <r>
    <s v="895"/>
    <n v="1049"/>
    <s v="nel.branca"/>
    <s v="M"/>
    <d v="2024-04-22T00:00:00"/>
    <n v="1043"/>
    <n v="886"/>
    <s v="Cria da Fazenda"/>
    <x v="20"/>
    <m/>
    <d v="2025-10-03T00:00:00"/>
    <n v="7.2"/>
    <n v="2397"/>
  </r>
  <r>
    <s v="896"/>
    <n v="1050"/>
    <s v="nel.castanha"/>
    <s v="M"/>
    <d v="2024-05-11T00:00:00"/>
    <n v="1055"/>
    <n v="934"/>
    <s v="Cria da Fazenda"/>
    <x v="20"/>
    <m/>
    <d v="2025-10-03T00:00:00"/>
    <n v="7.2"/>
    <n v="2397"/>
  </r>
  <r>
    <s v="897"/>
    <n v="1051"/>
    <s v="nel.castanha"/>
    <s v="F"/>
    <d v="2024-05-22T00:00:00"/>
    <n v="1043"/>
    <n v="1025"/>
    <s v="Cria da Fazenda"/>
    <x v="5"/>
    <m/>
    <d v="2024-11-01T00:00:00"/>
    <n v="5.2"/>
    <n v="1579"/>
  </r>
  <r>
    <s v="898"/>
    <n v="1052"/>
    <s v="nel.branca"/>
    <s v="F"/>
    <d v="2024-05-23T00:00:00"/>
    <n v="1055"/>
    <n v="969"/>
    <s v="Cria da Fazenda"/>
    <x v="5"/>
    <m/>
    <d v="2024-11-01T00:00:00"/>
    <n v="5.2"/>
    <n v="1579"/>
  </r>
  <r>
    <n v="899"/>
    <n v="1053"/>
    <s v="nel.branca"/>
    <s v="M"/>
    <d v="2024-06-18T00:00:00"/>
    <n v="1055"/>
    <n v="946"/>
    <s v="Cria da Fazenda"/>
    <x v="1"/>
    <s v="mor.debi.vaca seca "/>
    <s v="vaca seca"/>
    <s v="p/descarte"/>
    <m/>
  </r>
  <r>
    <s v="900"/>
    <n v="1054"/>
    <s v="nel.branca"/>
    <s v="F"/>
    <d v="2024-07-13T00:00:00"/>
    <n v="1055"/>
    <n v="863"/>
    <s v="Cria da Fazenda"/>
    <x v="15"/>
    <s v="SUBMAT.Substituicao de Mat"/>
    <d v="2025-11-01T00:00:00"/>
    <n v="8.02"/>
    <n v="2500"/>
  </r>
  <r>
    <s v="901"/>
    <n v="1055"/>
    <s v="nel.castanha"/>
    <s v="M"/>
    <d v="2024-07-26T00:00:00"/>
    <n v="1043"/>
    <n v="1029"/>
    <s v="Cria da Fazenda"/>
    <x v="20"/>
    <m/>
    <d v="2025-10-03T00:00:00"/>
    <n v="7.2"/>
    <n v="2397"/>
  </r>
  <r>
    <s v="902"/>
    <n v="1056"/>
    <s v="nel.branca"/>
    <s v="M"/>
    <d v="2024-08-01T00:00:00"/>
    <n v="1043"/>
    <n v="1028"/>
    <s v="Cria da Fazenda"/>
    <x v="20"/>
    <m/>
    <d v="2025-10-03T00:00:00"/>
    <n v="7.2"/>
    <n v="2397"/>
  </r>
  <r>
    <s v="903"/>
    <n v="1057"/>
    <s v="nel.branca"/>
    <s v="M"/>
    <d v="2024-08-05T00:00:00"/>
    <n v="1055"/>
    <n v="899"/>
    <s v="Cria da Fazenda"/>
    <x v="1"/>
    <s v="nasc.mor.mimificado"/>
    <m/>
    <m/>
    <m/>
  </r>
  <r>
    <s v="904"/>
    <n v="1058"/>
    <s v="nel.branca"/>
    <s v="M"/>
    <d v="2024-08-05T00:00:00"/>
    <n v="1055"/>
    <n v="992"/>
    <s v="Cria da Fazenda"/>
    <x v="20"/>
    <m/>
    <d v="2025-10-03T00:00:00"/>
    <n v="7.2"/>
    <n v="2397"/>
  </r>
  <r>
    <s v="905"/>
    <n v="1059"/>
    <s v="nel.branca"/>
    <s v="M"/>
    <d v="2024-08-09T00:00:00"/>
    <n v="1043"/>
    <n v="1027"/>
    <s v="Cria da Fazenda"/>
    <x v="20"/>
    <m/>
    <d v="2025-10-03T00:00:00"/>
    <n v="7.2"/>
    <n v="2397"/>
  </r>
  <r>
    <s v="906"/>
    <n v="1060"/>
    <s v="nel.branca"/>
    <s v="F"/>
    <d v="2024-08-14T00:00:00"/>
    <n v="1043"/>
    <n v="1023"/>
    <s v="Cria da Fazenda"/>
    <x v="15"/>
    <s v="SUBMAT.Substituica de Mat"/>
    <d v="2025-11-01T00:00:00"/>
    <n v="8.02"/>
    <n v="2500"/>
  </r>
  <r>
    <s v="907"/>
    <n v="1061"/>
    <s v="nel.branca"/>
    <s v="M"/>
    <d v="2024-08-19T00:00:00"/>
    <n v="1055"/>
    <n v="1039"/>
    <s v="Cria da Fazenda"/>
    <x v="20"/>
    <m/>
    <d v="2025-10-03T00:00:00"/>
    <n v="7.2"/>
    <n v="2397"/>
  </r>
  <r>
    <s v="908"/>
    <n v="1062"/>
    <s v="nel.castanha"/>
    <s v="F"/>
    <d v="2024-08-24T00:00:00"/>
    <n v="1055"/>
    <n v="1037"/>
    <s v="Cria da Fazenda"/>
    <x v="15"/>
    <s v="SUBMAT.Substituicao de Mat"/>
    <d v="2025-11-01T00:00:00"/>
    <n v="8.02"/>
    <n v="2500"/>
  </r>
  <r>
    <s v="909"/>
    <n v="1063"/>
    <s v="nel.castanha"/>
    <s v="M"/>
    <d v="2024-08-30T00:00:00"/>
    <n v="1043"/>
    <n v="1035"/>
    <s v="Cria da Fazenda"/>
    <x v="20"/>
    <m/>
    <d v="2025-10-03T00:00:00"/>
    <n v="7.2"/>
    <n v="2397"/>
  </r>
  <r>
    <s v="910"/>
    <n v="1064"/>
    <s v="nel.branca"/>
    <s v="F"/>
    <d v="2024-09-01T00:00:00"/>
    <n v="1055"/>
    <n v="1010"/>
    <s v="Cria da Fazenda"/>
    <x v="15"/>
    <s v="SUBMAT.Substituicao de Mat"/>
    <d v="2025-11-01T00:00:00"/>
    <n v="8.02"/>
    <n v="2500"/>
  </r>
  <r>
    <s v="911"/>
    <n v="1065"/>
    <s v="nel.branca"/>
    <s v="F"/>
    <d v="2024-09-13T00:00:00"/>
    <n v="1055"/>
    <n v="858"/>
    <s v="Cria da Fazenda"/>
    <x v="15"/>
    <s v="SUBMAT.Substituicao de Mat"/>
    <d v="2025-11-01T00:00:00"/>
    <n v="8.02"/>
    <n v="2500"/>
  </r>
  <r>
    <s v="912"/>
    <n v="1066"/>
    <s v="nel.branca"/>
    <s v="F"/>
    <d v="2024-09-13T00:00:00"/>
    <n v="1055"/>
    <n v="1036"/>
    <s v="Cria da Fazenda"/>
    <x v="20"/>
    <m/>
    <d v="2025-10-03T00:00:00"/>
    <n v="7.2"/>
    <n v="2397"/>
  </r>
  <r>
    <s v="913"/>
    <n v="1067"/>
    <s v="nel.branca"/>
    <s v="M"/>
    <d v="2024-09-17T00:00:00"/>
    <n v="1055"/>
    <n v="1026"/>
    <s v="Cria da Fazenda"/>
    <x v="20"/>
    <m/>
    <d v="2025-10-03T00:00:00"/>
    <n v="7.2"/>
    <n v="2397"/>
  </r>
  <r>
    <s v="914"/>
    <n v="1068"/>
    <s v="nel.castanha"/>
    <s v="F"/>
    <d v="2024-09-18T00:00:00"/>
    <s v="nel.2"/>
    <n v="987"/>
    <s v="Cria da Fazenda"/>
    <x v="12"/>
    <m/>
    <d v="2026-02-01T00:00:00"/>
    <n v="5.41"/>
    <n v="1872"/>
  </r>
  <r>
    <s v="915"/>
    <n v="1069"/>
    <s v="nel.branca"/>
    <s v="M"/>
    <d v="2024-09-26T00:00:00"/>
    <n v="1043"/>
    <n v="976"/>
    <s v="Cria da Fazenda"/>
    <x v="20"/>
    <m/>
    <d v="2025-10-03T00:00:00"/>
    <n v="7.2"/>
    <n v="2397"/>
  </r>
  <r>
    <s v="916"/>
    <n v="1070"/>
    <s v="nel.branca"/>
    <s v="F"/>
    <d v="2024-09-28T00:00:00"/>
    <s v="nel.2"/>
    <n v="1009"/>
    <s v="Cria da Fazenda"/>
    <x v="12"/>
    <m/>
    <d v="2026-02-01T00:00:00"/>
    <n v="5.41"/>
    <n v="1872"/>
  </r>
  <r>
    <s v="917"/>
    <n v="1071"/>
    <s v="nel.castanha"/>
    <s v="F"/>
    <d v="2024-10-01T00:00:00"/>
    <s v="nel.1"/>
    <n v="981"/>
    <s v="Cria da Fazenda"/>
    <x v="12"/>
    <m/>
    <d v="2026-02-01T00:00:00"/>
    <n v="5.41"/>
    <n v="1872"/>
  </r>
  <r>
    <s v="918"/>
    <n v="1072"/>
    <s v="nel.branca"/>
    <s v="M"/>
    <d v="2024-10-01T00:00:00"/>
    <s v="nel.2"/>
    <n v="1051"/>
    <s v="Cria da Fazenda"/>
    <x v="20"/>
    <m/>
    <d v="2025-10-03T00:00:00"/>
    <n v="7.2"/>
    <n v="2397"/>
  </r>
  <r>
    <s v="919"/>
    <n v="1073"/>
    <s v="nel.branca"/>
    <s v="F"/>
    <d v="2024-10-14T00:00:00"/>
    <s v="nel.2"/>
    <n v="964"/>
    <s v="Cria da Fazenda"/>
    <x v="12"/>
    <m/>
    <d v="2026-02-01T00:00:00"/>
    <n v="5.41"/>
    <n v="1872"/>
  </r>
  <r>
    <s v="920"/>
    <n v="1074"/>
    <s v="nel.castanha"/>
    <s v="M"/>
    <d v="2024-10-17T00:00:00"/>
    <n v="1043"/>
    <n v="1011"/>
    <s v="Cria da Fazenda"/>
    <x v="20"/>
    <m/>
    <d v="2025-10-03T00:00:00"/>
    <n v="7.2"/>
    <n v="2397"/>
  </r>
  <r>
    <s v="921"/>
    <n v="1075"/>
    <s v="nel.castanha"/>
    <s v="M"/>
    <d v="2024-10-18T00:00:00"/>
    <n v="1055"/>
    <n v="1024"/>
    <s v="Cria da Fazenda"/>
    <x v="20"/>
    <m/>
    <d v="2025-10-03T00:00:00"/>
    <n v="7.2"/>
    <n v="2397"/>
  </r>
  <r>
    <s v="922"/>
    <n v="1076"/>
    <s v="nel.castanha"/>
    <s v="F"/>
    <d v="2024-10-20T00:00:00"/>
    <n v="1055"/>
    <n v="978"/>
    <s v="Cria da Fazenda"/>
    <x v="12"/>
    <m/>
    <d v="2026-02-01T00:00:00"/>
    <n v="5.41"/>
    <n v="1872"/>
  </r>
  <r>
    <s v="923"/>
    <n v="1077"/>
    <s v="nel.branca"/>
    <s v="F"/>
    <d v="2024-10-21T00:00:00"/>
    <n v="1043"/>
    <n v="1044"/>
    <s v="Cria da Fazenda"/>
    <x v="12"/>
    <m/>
    <d v="2026-02-01T00:00:00"/>
    <n v="5.41"/>
    <n v="1872"/>
  </r>
  <r>
    <s v="924"/>
    <n v="1078"/>
    <s v="nel.branca"/>
    <s v="F"/>
    <d v="2024-10-22T00:00:00"/>
    <n v="1055"/>
    <n v="1040"/>
    <s v="Cria da Fazenda"/>
    <x v="12"/>
    <m/>
    <d v="2026-02-01T00:00:00"/>
    <n v="5.41"/>
    <n v="1872"/>
  </r>
  <r>
    <s v="925"/>
    <n v="1079"/>
    <s v="nel.branca"/>
    <s v="F"/>
    <d v="2024-10-22T00:00:00"/>
    <n v="1055"/>
    <n v="1043"/>
    <s v="Cria da Fazenda"/>
    <x v="12"/>
    <m/>
    <d v="2026-02-01T00:00:00"/>
    <n v="5.41"/>
    <n v="1872"/>
  </r>
  <r>
    <s v="926"/>
    <n v="1080"/>
    <s v="nel.castanha"/>
    <s v="F"/>
    <d v="2024-10-25T00:00:00"/>
    <n v="1055"/>
    <n v="961"/>
    <s v="Cria da Fazenda"/>
    <x v="12"/>
    <m/>
    <d v="2026-02-01T00:00:00"/>
    <n v="5.41"/>
    <n v="1872"/>
  </r>
  <r>
    <s v="927"/>
    <n v="1081"/>
    <s v="nel.branca"/>
    <s v="M"/>
    <d v="2024-10-27T00:00:00"/>
    <n v="1055"/>
    <n v="1046"/>
    <s v="Cria da Fazenda"/>
    <x v="20"/>
    <m/>
    <d v="2025-10-03T00:00:00"/>
    <n v="7.2"/>
    <n v="2397"/>
  </r>
  <r>
    <s v="928"/>
    <n v="1082"/>
    <s v="nel.branca"/>
    <s v="F"/>
    <d v="2024-10-27T00:00:00"/>
    <n v="1055"/>
    <n v="1059"/>
    <s v="Cria da Fazenda"/>
    <x v="12"/>
    <m/>
    <d v="2026-02-01T00:00:00"/>
    <n v="5.41"/>
    <n v="1872"/>
  </r>
  <r>
    <s v="929"/>
    <s v="aborto"/>
    <s v="nel.branca"/>
    <s v="M"/>
    <d v="2024-10-30T00:00:00"/>
    <n v="1055"/>
    <n v="967"/>
    <s v="Cria da Fazenda"/>
    <x v="21"/>
    <s v="aborto.bez.mumificado"/>
    <m/>
    <m/>
    <m/>
  </r>
  <r>
    <s v="930"/>
    <n v="1084"/>
    <s v="nel.castanha"/>
    <s v="M"/>
    <d v="2024-10-30T00:00:00"/>
    <n v="1043"/>
    <n v="945"/>
    <s v="Cria da Fazenda"/>
    <x v="20"/>
    <m/>
    <d v="2025-10-03T00:00:00"/>
    <n v="7.2"/>
    <n v="2397"/>
  </r>
  <r>
    <s v="931"/>
    <n v="1085"/>
    <s v="nel.castanha"/>
    <s v="M"/>
    <d v="2024-11-01T00:00:00"/>
    <n v="1055"/>
    <n v="1047"/>
    <s v="Cria da Fazenda"/>
    <x v="20"/>
    <m/>
    <d v="2025-10-03T00:00:00"/>
    <n v="7.2"/>
    <n v="2397"/>
  </r>
  <r>
    <s v="932"/>
    <n v="1086"/>
    <s v="nel.branca"/>
    <s v="M"/>
    <d v="2024-11-03T00:00:00"/>
    <n v="1043"/>
    <n v="1038"/>
    <s v="Cria da Fazenda"/>
    <x v="20"/>
    <m/>
    <d v="2025-10-03T00:00:00"/>
    <n v="7.2"/>
    <n v="2397"/>
  </r>
  <r>
    <s v="933"/>
    <n v="1087"/>
    <s v="nel.branca"/>
    <s v="M"/>
    <d v="2024-12-02T00:00:00"/>
    <s v="nel.1"/>
    <n v="926"/>
    <s v="Cria da Fazenda"/>
    <x v="12"/>
    <m/>
    <d v="2026-02-01T00:00:00"/>
    <n v="5.41"/>
    <n v="1872"/>
  </r>
  <r>
    <s v="934"/>
    <n v="1088"/>
    <s v="nel.branca"/>
    <s v="F"/>
    <d v="2024-12-11T00:00:00"/>
    <s v="nel.1"/>
    <n v="1022"/>
    <s v="Cria da Fazenda"/>
    <x v="22"/>
    <s v="nasceu morto mumificado"/>
    <m/>
    <m/>
    <m/>
  </r>
  <r>
    <s v="935"/>
    <n v="1089"/>
    <s v="nel.branca"/>
    <s v="M"/>
    <d v="2024-12-16T00:00:00"/>
    <s v="nel.1"/>
    <n v="939"/>
    <s v="Cria da Fazenda"/>
    <x v="22"/>
    <s v="morreu atolado no brejo "/>
    <s v="após barra"/>
    <s v=" 30/12/24"/>
    <m/>
  </r>
  <r>
    <s v="936"/>
    <n v="1090"/>
    <s v="nel.branca"/>
    <s v="M"/>
    <d v="2025-01-10T00:00:00"/>
    <s v="nel.1"/>
    <n v="1032"/>
    <s v="Cria da Fazenda"/>
    <x v="12"/>
    <m/>
    <d v="2026-02-01T00:00:00"/>
    <n v="5.41"/>
    <n v="1872"/>
  </r>
  <r>
    <s v="937"/>
    <n v="1091"/>
    <s v="nel.branca"/>
    <s v="M"/>
    <d v="2025-01-13T00:00:00"/>
    <s v="nel.1"/>
    <n v="990"/>
    <s v="Cria da Fazenda"/>
    <x v="12"/>
    <m/>
    <d v="2026-02-01T00:00:00"/>
    <n v="5.41"/>
    <n v="1872"/>
  </r>
  <r>
    <s v="938"/>
    <n v="1092"/>
    <s v="nel.branca"/>
    <s v="F"/>
    <d v="2025-01-16T00:00:00"/>
    <s v="nel.1"/>
    <n v="876"/>
    <s v="Cria da Fazenda"/>
    <x v="12"/>
    <m/>
    <d v="2026-02-01T00:00:00"/>
    <n v="5.41"/>
    <n v="1872"/>
  </r>
  <r>
    <s v="939"/>
    <n v="1093"/>
    <s v="nel.branca"/>
    <s v="M"/>
    <d v="2025-01-27T00:00:00"/>
    <s v="nel.1"/>
    <n v="881"/>
    <s v="Cria da Fazenda"/>
    <x v="12"/>
    <m/>
    <d v="2026-02-01T00:00:00"/>
    <n v="5.41"/>
    <n v="1872"/>
  </r>
  <r>
    <s v="940"/>
    <n v="1094"/>
    <s v="nel.branca"/>
    <s v="M"/>
    <d v="2025-02-12T00:00:00"/>
    <s v="nel.1"/>
    <n v="943"/>
    <s v="Cria da Fazenda"/>
    <x v="12"/>
    <s v="matriz s/ leite,  alimentada"/>
    <s v="p.out.matriz"/>
    <n v="1020"/>
    <m/>
  </r>
  <r>
    <s v="941"/>
    <n v="1095"/>
    <s v="nel.branca"/>
    <s v="F"/>
    <d v="2025-02-23T00:00:00"/>
    <s v="nel.1"/>
    <n v="1045"/>
    <s v="Cria da Fazenda"/>
    <x v="12"/>
    <m/>
    <d v="2026-02-01T00:00:00"/>
    <n v="5.41"/>
    <n v="1872"/>
  </r>
  <r>
    <s v="942"/>
    <n v="1096"/>
    <s v="nel.branca"/>
    <s v="M"/>
    <d v="2025-04-04T00:00:00"/>
    <s v="nel.2"/>
    <n v="1033"/>
    <s v="Cria da Fazenda"/>
    <x v="12"/>
    <m/>
    <d v="2026-02-01T00:00:00"/>
    <n v="5.41"/>
    <n v="1872"/>
  </r>
  <r>
    <s v="943"/>
    <n v="1097"/>
    <s v="nel.branca"/>
    <s v="F"/>
    <d v="2025-04-08T00:00:00"/>
    <s v="nel.2"/>
    <n v="1031"/>
    <s v="Cria da Fazenda"/>
    <x v="12"/>
    <m/>
    <s v="01/02//2026"/>
    <n v="5.41"/>
    <n v="1872"/>
  </r>
  <r>
    <s v="944"/>
    <n v="1098"/>
    <s v="nel.branca"/>
    <s v="M"/>
    <d v="2025-04-14T00:00:00"/>
    <s v="nel.2"/>
    <n v="980"/>
    <s v="Cria da Fazenda"/>
    <x v="12"/>
    <m/>
    <d v="2026-02-01T00:00:00"/>
    <n v="5.41"/>
    <n v="1872"/>
  </r>
  <r>
    <s v="945"/>
    <n v="1099"/>
    <s v="nel.branca"/>
    <s v="F"/>
    <d v="2025-04-17T00:00:00"/>
    <s v="nel.2"/>
    <n v="973"/>
    <s v="Cria da Fazenda"/>
    <x v="12"/>
    <m/>
    <d v="2026-02-01T00:00:00"/>
    <n v="5.41"/>
    <n v="1872"/>
  </r>
  <r>
    <s v="946"/>
    <n v="1100"/>
    <s v="nel.branca"/>
    <s v="F"/>
    <d v="2025-04-17T00:00:00"/>
    <s v="nel.2"/>
    <n v="988"/>
    <s v="Cria da Fazenda"/>
    <x v="12"/>
    <m/>
    <d v="2026-02-01T00:00:00"/>
    <n v="5.41"/>
    <n v="1872"/>
  </r>
  <r>
    <s v="947"/>
    <n v="1101"/>
    <s v="nel.branca"/>
    <s v="F"/>
    <d v="2025-05-12T00:00:00"/>
    <s v="nel.2"/>
    <n v="1042"/>
    <s v="Cria da Fazenda"/>
    <x v="12"/>
    <m/>
    <d v="2026-02-01T00:00:00"/>
    <n v="5.41"/>
    <n v="1872"/>
  </r>
  <r>
    <s v="948"/>
    <n v="1102"/>
    <s v="nel.branca"/>
    <s v="F"/>
    <d v="2025-05-13T00:00:00"/>
    <s v="nel.2"/>
    <n v="984"/>
    <s v="Cria da Fazenda"/>
    <x v="12"/>
    <m/>
    <d v="2026-02-01T00:00:00"/>
    <n v="5.41"/>
    <n v="1872"/>
  </r>
  <r>
    <s v="949"/>
    <n v="1103"/>
    <s v="nel.branca"/>
    <s v="M"/>
    <d v="2025-05-15T00:00:00"/>
    <s v="nel.1"/>
    <n v="894"/>
    <s v="Cria da Fazenda"/>
    <x v="12"/>
    <m/>
    <d v="2026-02-01T00:00:00"/>
    <n v="5.41"/>
    <m/>
  </r>
  <r>
    <s v="950"/>
    <n v="1104"/>
    <s v="nel.branca"/>
    <s v="M"/>
    <d v="2025-05-19T00:00:00"/>
    <s v="nel.1"/>
    <n v="985"/>
    <s v="Cria da Fazenda"/>
    <x v="22"/>
    <s v="mat.mor.cobr.27/07.bez.cria"/>
    <m/>
    <m/>
    <m/>
  </r>
  <r>
    <s v="951"/>
    <n v="1105"/>
    <s v="nel.castanha"/>
    <s v="M"/>
    <d v="2025-05-20T00:00:00"/>
    <s v="nel.1"/>
    <n v="1048"/>
    <s v="Cria da Fazenda"/>
    <x v="12"/>
    <m/>
    <d v="2026-02-01T00:00:00"/>
    <n v="5.41"/>
    <n v="1872"/>
  </r>
  <r>
    <s v="952"/>
    <n v="1106"/>
    <s v="nel.branca"/>
    <s v="M"/>
    <d v="2025-06-01T00:00:00"/>
    <s v="nel.2"/>
    <n v="1058"/>
    <s v="Cria da Fazenda"/>
    <x v="12"/>
    <m/>
    <d v="2026-02-01T00:00:00"/>
    <n v="5.41"/>
    <n v="1872"/>
  </r>
  <r>
    <s v="953"/>
    <n v="1107"/>
    <s v="nel.branca"/>
    <s v="M"/>
    <d v="2025-06-18T00:00:00"/>
    <s v="nel.2"/>
    <n v="963"/>
    <s v="Cria da Fazenda"/>
    <x v="12"/>
    <m/>
    <d v="2026-02-01T00:00:00"/>
    <n v="5.41"/>
    <n v="1872"/>
  </r>
  <r>
    <s v="954"/>
    <n v="1108"/>
    <s v="nel.branca"/>
    <s v="M"/>
    <d v="2025-06-27T00:00:00"/>
    <s v="nel.1"/>
    <n v="893"/>
    <s v="Cria da Fazenda"/>
    <x v="22"/>
    <s v="bez.mor.atol.em 28/07/2026"/>
    <m/>
    <s v="."/>
    <m/>
  </r>
  <r>
    <s v="955"/>
    <n v="1109"/>
    <s v="nel.branca"/>
    <s v="M"/>
    <d v="2025-07-01T00:00:00"/>
    <s v="nel.2"/>
    <n v="1012"/>
    <s v="Cria da Fazenda"/>
    <x v="12"/>
    <m/>
    <d v="2026-02-01T00:00:00"/>
    <n v="5.41"/>
    <n v="1872"/>
  </r>
  <r>
    <s v="956"/>
    <n v="1110"/>
    <s v="nel.branca"/>
    <s v="M"/>
    <d v="2025-07-02T00:00:00"/>
    <s v="nel.1"/>
    <n v="1020"/>
    <s v="Cria da Fazenda"/>
    <x v="12"/>
    <m/>
    <d v="2026-02-01T00:00:00"/>
    <n v="5.41"/>
    <n v="1872"/>
  </r>
  <r>
    <s v="957"/>
    <n v="1111"/>
    <s v="nel.branca"/>
    <s v="F"/>
    <d v="2025-07-06T00:00:00"/>
    <s v="nel.1"/>
    <n v="1061"/>
    <s v="Cria da Fazenda"/>
    <x v="12"/>
    <m/>
    <d v="2026-02-01T00:00:00"/>
    <n v="5.41"/>
    <n v="1872"/>
  </r>
  <r>
    <s v="958"/>
    <n v="1112"/>
    <s v="nel.branca"/>
    <s v="F"/>
    <d v="2025-07-13T00:00:00"/>
    <s v="nel.1"/>
    <n v="958"/>
    <s v="Cria da Fazenda"/>
    <x v="12"/>
    <m/>
    <d v="2026-02-01T00:00:00"/>
    <n v="5.41"/>
    <n v="1872"/>
  </r>
  <r>
    <s v="959"/>
    <n v="1113"/>
    <s v="nel.branca"/>
    <s v="M"/>
    <d v="2025-07-20T00:00:00"/>
    <s v="nel.2"/>
    <n v="957"/>
    <s v="Cria da Fazenda"/>
    <x v="12"/>
    <m/>
    <d v="2026-02-01T00:00:00"/>
    <n v="5.41"/>
    <n v="1872"/>
  </r>
  <r>
    <s v="960"/>
    <n v="1114"/>
    <s v="nel.branca"/>
    <s v="M"/>
    <d v="2025-07-28T00:00:00"/>
    <s v="nel.2"/>
    <n v="993"/>
    <s v="Cria da Fazenda"/>
    <x v="12"/>
    <m/>
    <d v="2026-02-01T00:00:00"/>
    <n v="5.41"/>
    <n v="1872"/>
  </r>
  <r>
    <s v="961"/>
    <n v="1115"/>
    <s v="nel.branca"/>
    <s v="M"/>
    <d v="2025-07-28T00:00:00"/>
    <s v="nel.1"/>
    <n v="1054"/>
    <s v="Cria da Fazenda"/>
    <x v="12"/>
    <m/>
    <s v="01/0202026"/>
    <n v="5.41"/>
    <n v="1872"/>
  </r>
  <r>
    <s v="962"/>
    <n v="1116"/>
    <s v="nel.branca"/>
    <s v="F"/>
    <d v="2025-07-28T00:00:00"/>
    <s v="nel.1"/>
    <n v="959"/>
    <s v="Cria da Fazenda"/>
    <x v="12"/>
    <m/>
    <d v="2026-02-01T00:00:00"/>
    <n v="5.41"/>
    <n v="1872"/>
  </r>
  <r>
    <s v="963"/>
    <n v="1117"/>
    <s v="nel.branca"/>
    <s v="F"/>
    <d v="2025-08-01T00:00:00"/>
    <s v="nel.2"/>
    <n v="1030"/>
    <s v="Cria da Fazenda"/>
    <x v="12"/>
    <m/>
    <d v="2026-02-01T00:00:00"/>
    <n v="5.41"/>
    <n v="1872"/>
  </r>
  <r>
    <s v="964"/>
    <n v="1118"/>
    <s v="nel.branca"/>
    <s v="F"/>
    <d v="2025-08-10T00:00:00"/>
    <s v="nel.1"/>
    <n v="1010"/>
    <s v="Cria da Fazenda"/>
    <x v="12"/>
    <m/>
    <d v="2026-02-01T00:00:00"/>
    <n v="5.41"/>
    <n v="1872"/>
  </r>
  <r>
    <s v="965"/>
    <n v="1119"/>
    <s v="nel.branca"/>
    <s v="F"/>
    <d v="2025-08-12T00:00:00"/>
    <s v="nel.2"/>
    <n v="899"/>
    <s v="Cria da Fazenda"/>
    <x v="12"/>
    <m/>
    <d v="2024-02-01T00:00:00"/>
    <n v="5.41"/>
    <n v="1872"/>
  </r>
  <r>
    <s v="966"/>
    <n v="1120"/>
    <s v="nel.branca"/>
    <s v="F"/>
    <d v="2025-08-20T00:00:00"/>
    <s v="nel.1"/>
    <n v="956"/>
    <s v="Cria da Fazenda"/>
    <x v="12"/>
    <m/>
    <d v="2026-02-01T00:00:00"/>
    <n v="5.41"/>
    <n v="1872"/>
  </r>
  <r>
    <s v="967"/>
    <n v="1121"/>
    <s v="nel.branca"/>
    <s v="M"/>
    <d v="2025-08-21T00:00:00"/>
    <s v="nel.1"/>
    <n v="1060"/>
    <s v="Cria da Fazenda"/>
    <x v="12"/>
    <m/>
    <d v="2026-02-01T00:00:00"/>
    <n v="5.41"/>
    <n v="1872"/>
  </r>
  <r>
    <s v="968"/>
    <n v="1122"/>
    <s v="nel.branca"/>
    <s v="M"/>
    <d v="2025-08-29T00:00:00"/>
    <s v="nel.2"/>
    <n v="1056"/>
    <s v="Cria da Fazenda"/>
    <x v="12"/>
    <m/>
    <d v="2026-02-01T00:00:00"/>
    <n v="5.41"/>
    <n v="1872"/>
  </r>
  <r>
    <s v="969"/>
    <n v="1123"/>
    <s v="nel.branca"/>
    <s v="F"/>
    <d v="2025-09-05T00:00:00"/>
    <s v="nel.1"/>
    <n v="1024"/>
    <s v="Cria da Fazenda"/>
    <x v="12"/>
    <m/>
    <d v="2026-02-01T00:00:00"/>
    <n v="5.41"/>
    <n v="1872"/>
  </r>
  <r>
    <s v="970"/>
    <n v="1124"/>
    <s v="nel.branca"/>
    <s v="F"/>
    <d v="2025-09-07T00:00:00"/>
    <n v="1043"/>
    <n v="1028"/>
    <s v="Cria da Fazenda"/>
    <x v="12"/>
    <m/>
    <d v="2026-02-01T00:00:00"/>
    <n v="5.41"/>
    <n v="1872"/>
  </r>
  <r>
    <s v="971"/>
    <n v="1125"/>
    <s v="nel.branca"/>
    <s v="M"/>
    <d v="2025-09-07T00:00:00"/>
    <n v="1043"/>
    <n v="1025"/>
    <s v="Cria da Fazenda"/>
    <x v="22"/>
    <m/>
    <m/>
    <m/>
    <m/>
  </r>
  <r>
    <n v="972"/>
    <n v="1126"/>
    <s v="nel.branca"/>
    <s v="F"/>
    <d v="2025-09-10T00:00:00"/>
    <s v="nel.2"/>
    <n v="1043"/>
    <s v="Cria da Fazenda"/>
    <x v="22"/>
    <m/>
    <m/>
    <m/>
    <m/>
  </r>
  <r>
    <n v="973"/>
    <n v="1127"/>
    <s v="nel.branca"/>
    <s v="F"/>
    <d v="2025-09-14T00:00:00"/>
    <s v="nel.2"/>
    <n v="992"/>
    <s v="Cria da Fazenda"/>
    <x v="2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C23" firstHeaderRow="0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4">
        <item h="1" x="21"/>
        <item m="1" x="37"/>
        <item x="8"/>
        <item x="18"/>
        <item x="14"/>
        <item m="1" x="54"/>
        <item m="1" x="52"/>
        <item x="6"/>
        <item m="1" x="55"/>
        <item x="11"/>
        <item x="3"/>
        <item x="7"/>
        <item m="1" x="51"/>
        <item m="1" x="42"/>
        <item x="12"/>
        <item x="5"/>
        <item m="1" x="58"/>
        <item x="13"/>
        <item m="1" x="53"/>
        <item m="1" x="46"/>
        <item m="1" x="48"/>
        <item m="1" x="56"/>
        <item m="1" x="40"/>
        <item m="1" x="35"/>
        <item m="1" x="23"/>
        <item m="1" x="57"/>
        <item m="1" x="47"/>
        <item m="1" x="24"/>
        <item m="1" x="62"/>
        <item m="1" x="25"/>
        <item m="1" x="27"/>
        <item m="1" x="59"/>
        <item m="1" x="30"/>
        <item m="1" x="43"/>
        <item m="1" x="26"/>
        <item m="1" x="45"/>
        <item m="1" x="60"/>
        <item m="1" x="38"/>
        <item m="1" x="41"/>
        <item m="1" x="31"/>
        <item m="1" x="61"/>
        <item x="0"/>
        <item m="1" x="36"/>
        <item m="1" x="44"/>
        <item m="1" x="50"/>
        <item m="1" x="29"/>
        <item m="1" x="33"/>
        <item m="1" x="28"/>
        <item m="1" x="32"/>
        <item m="1" x="39"/>
        <item x="10"/>
        <item m="1" x="34"/>
        <item m="1" x="49"/>
        <item h="1" x="22"/>
        <item x="1"/>
        <item x="9"/>
        <item x="19"/>
        <item x="20"/>
        <item x="2"/>
        <item x="4"/>
        <item x="17"/>
        <item h="1" x="1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8"/>
  </rowFields>
  <rowItems count="20">
    <i>
      <x v="41"/>
    </i>
    <i>
      <x v="15"/>
    </i>
    <i>
      <x v="11"/>
    </i>
    <i>
      <x v="14"/>
    </i>
    <i>
      <x v="7"/>
    </i>
    <i>
      <x v="10"/>
    </i>
    <i>
      <x v="17"/>
    </i>
    <i>
      <x v="54"/>
    </i>
    <i>
      <x v="50"/>
    </i>
    <i>
      <x v="9"/>
    </i>
    <i>
      <x v="57"/>
    </i>
    <i>
      <x v="3"/>
    </i>
    <i>
      <x v="56"/>
    </i>
    <i>
      <x v="60"/>
    </i>
    <i>
      <x v="4"/>
    </i>
    <i>
      <x v="55"/>
    </i>
    <i>
      <x v="58"/>
    </i>
    <i>
      <x v="2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ço Real" fld="12" baseField="8" baseItem="11" numFmtId="4"/>
    <dataField name="Contagem de Reg.Nasc.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14"/>
  <sheetViews>
    <sheetView tabSelected="1" topLeftCell="C1" zoomScaleNormal="100" zoomScaleSheetLayoutView="100" workbookViewId="0">
      <pane ySplit="4" topLeftCell="A931" activePane="bottomLeft" state="frozen"/>
      <selection activeCell="D17" sqref="D17"/>
      <selection pane="bottomLeft" activeCell="S943" sqref="S943"/>
    </sheetView>
  </sheetViews>
  <sheetFormatPr defaultColWidth="11.15625" defaultRowHeight="14.4" x14ac:dyDescent="0.55000000000000004"/>
  <cols>
    <col min="1" max="1" width="11.26171875" style="24" hidden="1" customWidth="1"/>
    <col min="2" max="2" width="12.26171875" style="33" hidden="1" customWidth="1"/>
    <col min="3" max="3" width="11.15625" style="33"/>
    <col min="4" max="4" width="14" style="33" customWidth="1"/>
    <col min="5" max="6" width="11.15625" style="33"/>
    <col min="7" max="7" width="11.15625" style="59"/>
    <col min="8" max="8" width="11.15625" style="33"/>
    <col min="9" max="9" width="12.83984375" style="33" bestFit="1" customWidth="1"/>
    <col min="10" max="10" width="17.26171875" style="24" customWidth="1"/>
    <col min="11" max="12" width="25.68359375" style="24" customWidth="1"/>
    <col min="13" max="13" width="11.15625" style="24"/>
    <col min="14" max="15" width="11.15625" style="58"/>
    <col min="16" max="16" width="11.15625" style="24"/>
    <col min="17" max="17" width="0" style="24" hidden="1" customWidth="1"/>
    <col min="18" max="18" width="0" style="58" hidden="1" customWidth="1"/>
    <col min="19" max="16384" width="11.15625" style="24"/>
  </cols>
  <sheetData>
    <row r="1" spans="1:18" ht="22.2" x14ac:dyDescent="0.55000000000000004">
      <c r="C1" s="186" t="s">
        <v>32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8"/>
      <c r="O1" s="187"/>
    </row>
    <row r="2" spans="1:18" x14ac:dyDescent="0.55000000000000004">
      <c r="C2" s="189" t="s">
        <v>1151</v>
      </c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1"/>
      <c r="O2" s="190"/>
    </row>
    <row r="3" spans="1:18" ht="5.25" customHeight="1" x14ac:dyDescent="0.55000000000000004"/>
    <row r="4" spans="1:18" ht="29.25" customHeight="1" x14ac:dyDescent="0.55000000000000004">
      <c r="B4" s="60" t="s">
        <v>9</v>
      </c>
      <c r="C4" s="61" t="s">
        <v>27</v>
      </c>
      <c r="D4" s="60" t="s">
        <v>1097</v>
      </c>
      <c r="E4" s="61" t="s">
        <v>28</v>
      </c>
      <c r="F4" s="60" t="s">
        <v>29</v>
      </c>
      <c r="G4" s="62" t="s">
        <v>10</v>
      </c>
      <c r="H4" s="60" t="s">
        <v>15</v>
      </c>
      <c r="I4" s="60" t="s">
        <v>9</v>
      </c>
      <c r="J4" s="63" t="s">
        <v>886</v>
      </c>
      <c r="K4" s="61" t="s">
        <v>887</v>
      </c>
      <c r="L4" s="61" t="s">
        <v>1156</v>
      </c>
      <c r="M4" s="61" t="s">
        <v>888</v>
      </c>
      <c r="N4" s="64" t="s">
        <v>30</v>
      </c>
      <c r="O4" s="64" t="s">
        <v>31</v>
      </c>
      <c r="P4" s="155" t="s">
        <v>1204</v>
      </c>
      <c r="Q4" s="155" t="s">
        <v>1095</v>
      </c>
      <c r="R4" s="156" t="s">
        <v>1096</v>
      </c>
    </row>
    <row r="5" spans="1:18" x14ac:dyDescent="0.55000000000000004">
      <c r="A5" s="24" t="str">
        <f>IF(COUNTIF(B5:$B$5014,B5)&gt;1,IF(COUNTIF($B$5:B5,B5)&gt;1,"",B5&amp;"-I"),B5)</f>
        <v>871-I</v>
      </c>
      <c r="B5" s="29">
        <f t="shared" ref="B5:B68" si="0">+I5</f>
        <v>871</v>
      </c>
      <c r="C5" s="36">
        <v>1</v>
      </c>
      <c r="D5" s="53">
        <v>3</v>
      </c>
      <c r="E5" s="53"/>
      <c r="F5" s="53" t="s">
        <v>12</v>
      </c>
      <c r="G5" s="54">
        <v>39625</v>
      </c>
      <c r="H5" s="53"/>
      <c r="I5" s="53">
        <v>871</v>
      </c>
      <c r="J5" s="39" t="s">
        <v>33</v>
      </c>
      <c r="K5" s="39" t="s">
        <v>965</v>
      </c>
      <c r="L5" s="39"/>
      <c r="M5" s="39"/>
      <c r="N5" s="39"/>
      <c r="O5" s="40"/>
    </row>
    <row r="6" spans="1:18" x14ac:dyDescent="0.55000000000000004">
      <c r="A6" s="24" t="str">
        <f>IF(COUNTIF(B6:$B$5014,B6)&gt;1,IF(COUNTIF($B$5:B6,B6)&gt;1,"",B6&amp;"-I"),B6)</f>
        <v>870-I</v>
      </c>
      <c r="B6" s="29">
        <f t="shared" si="0"/>
        <v>870</v>
      </c>
      <c r="C6" s="36">
        <v>2</v>
      </c>
      <c r="D6" s="53">
        <v>4</v>
      </c>
      <c r="E6" s="53"/>
      <c r="F6" s="53" t="s">
        <v>12</v>
      </c>
      <c r="G6" s="54">
        <v>39669</v>
      </c>
      <c r="H6" s="53"/>
      <c r="I6" s="53">
        <v>870</v>
      </c>
      <c r="J6" s="39" t="s">
        <v>33</v>
      </c>
      <c r="K6" s="39" t="s">
        <v>965</v>
      </c>
      <c r="L6" s="39"/>
      <c r="M6" s="39"/>
      <c r="N6" s="39"/>
      <c r="O6" s="40"/>
    </row>
    <row r="7" spans="1:18" x14ac:dyDescent="0.55000000000000004">
      <c r="A7" s="24" t="str">
        <f>IF(COUNTIF(B7:$B$5014,B7)&gt;1,IF(COUNTIF($B$5:B7,B7)&gt;1,"",B7&amp;"-I"),B7)</f>
        <v>872-I</v>
      </c>
      <c r="B7" s="29">
        <f t="shared" si="0"/>
        <v>872</v>
      </c>
      <c r="C7" s="36">
        <v>3</v>
      </c>
      <c r="D7" s="53">
        <v>5</v>
      </c>
      <c r="E7" s="53"/>
      <c r="F7" s="53" t="s">
        <v>12</v>
      </c>
      <c r="G7" s="54">
        <v>39670</v>
      </c>
      <c r="H7" s="53"/>
      <c r="I7" s="53">
        <v>872</v>
      </c>
      <c r="J7" s="39" t="s">
        <v>33</v>
      </c>
      <c r="K7" s="39" t="s">
        <v>965</v>
      </c>
      <c r="L7" s="39"/>
      <c r="M7" s="39"/>
      <c r="N7" s="39"/>
      <c r="O7" s="40"/>
    </row>
    <row r="8" spans="1:18" x14ac:dyDescent="0.55000000000000004">
      <c r="A8" s="24" t="str">
        <f>IF(COUNTIF(B8:$B$5014,B8)&gt;1,IF(COUNTIF($B$5:B8,B8)&gt;1,"",B8&amp;"-I"),B8)</f>
        <v>863-I</v>
      </c>
      <c r="B8" s="29">
        <f t="shared" si="0"/>
        <v>863</v>
      </c>
      <c r="C8" s="36">
        <v>4</v>
      </c>
      <c r="D8" s="53">
        <v>8</v>
      </c>
      <c r="E8" s="53"/>
      <c r="F8" s="53" t="s">
        <v>11</v>
      </c>
      <c r="G8" s="54">
        <v>39647</v>
      </c>
      <c r="H8" s="53"/>
      <c r="I8" s="53">
        <v>863</v>
      </c>
      <c r="J8" s="39" t="s">
        <v>33</v>
      </c>
      <c r="K8" s="39" t="s">
        <v>965</v>
      </c>
      <c r="L8" s="39"/>
      <c r="M8" s="39"/>
      <c r="N8" s="39"/>
      <c r="O8" s="40"/>
    </row>
    <row r="9" spans="1:18" x14ac:dyDescent="0.55000000000000004">
      <c r="A9" s="24" t="str">
        <f>IF(COUNTIF(B9:$B$5014,B9)&gt;1,IF(COUNTIF($B$5:B9,B9)&gt;1,"",B9&amp;"-I"),B9)</f>
        <v>859-I</v>
      </c>
      <c r="B9" s="29">
        <f t="shared" si="0"/>
        <v>859</v>
      </c>
      <c r="C9" s="36">
        <v>5</v>
      </c>
      <c r="D9" s="53">
        <v>9</v>
      </c>
      <c r="E9" s="53"/>
      <c r="F9" s="53" t="s">
        <v>11</v>
      </c>
      <c r="G9" s="54">
        <v>39676</v>
      </c>
      <c r="H9" s="53"/>
      <c r="I9" s="53">
        <v>859</v>
      </c>
      <c r="J9" s="39" t="s">
        <v>33</v>
      </c>
      <c r="K9" s="39" t="s">
        <v>965</v>
      </c>
      <c r="L9" s="39"/>
      <c r="M9" s="39"/>
      <c r="N9" s="39"/>
      <c r="O9" s="40"/>
    </row>
    <row r="10" spans="1:18" x14ac:dyDescent="0.55000000000000004">
      <c r="A10" s="24" t="str">
        <f>IF(COUNTIF(B10:$B$5014,B10)&gt;1,IF(COUNTIF($B$5:B10,B10)&gt;1,"",B10&amp;"-I"),B10)</f>
        <v>889-I</v>
      </c>
      <c r="B10" s="29">
        <f t="shared" si="0"/>
        <v>889</v>
      </c>
      <c r="C10" s="36">
        <v>6</v>
      </c>
      <c r="D10" s="53">
        <v>11</v>
      </c>
      <c r="E10" s="53"/>
      <c r="F10" s="53" t="s">
        <v>11</v>
      </c>
      <c r="G10" s="54">
        <v>39676</v>
      </c>
      <c r="H10" s="53"/>
      <c r="I10" s="53">
        <v>889</v>
      </c>
      <c r="J10" s="39" t="s">
        <v>33</v>
      </c>
      <c r="K10" s="39" t="s">
        <v>965</v>
      </c>
      <c r="L10" s="39"/>
      <c r="M10" s="39"/>
      <c r="N10" s="39"/>
      <c r="O10" s="40"/>
    </row>
    <row r="11" spans="1:18" x14ac:dyDescent="0.55000000000000004">
      <c r="A11" s="24" t="str">
        <f>IF(COUNTIF(B11:$B$5014,B11)&gt;1,IF(COUNTIF($B$5:B11,B11)&gt;1,"",B11&amp;"-I"),B11)</f>
        <v>882-I</v>
      </c>
      <c r="B11" s="29">
        <f t="shared" si="0"/>
        <v>882</v>
      </c>
      <c r="C11" s="36">
        <v>7</v>
      </c>
      <c r="D11" s="53">
        <v>14</v>
      </c>
      <c r="E11" s="53"/>
      <c r="F11" s="53" t="s">
        <v>11</v>
      </c>
      <c r="G11" s="54">
        <v>39631</v>
      </c>
      <c r="H11" s="53"/>
      <c r="I11" s="53">
        <v>882</v>
      </c>
      <c r="J11" s="39" t="s">
        <v>33</v>
      </c>
      <c r="K11" s="39" t="s">
        <v>965</v>
      </c>
      <c r="L11" s="39"/>
      <c r="M11" s="39"/>
      <c r="N11" s="39"/>
      <c r="O11" s="40"/>
    </row>
    <row r="12" spans="1:18" x14ac:dyDescent="0.55000000000000004">
      <c r="A12" s="24" t="str">
        <f>IF(COUNTIF(B12:$B$5014,B12)&gt;1,IF(COUNTIF($B$5:B12,B12)&gt;1,"",B12&amp;"-I"),B12)</f>
        <v>854-I</v>
      </c>
      <c r="B12" s="29">
        <f t="shared" si="0"/>
        <v>854</v>
      </c>
      <c r="C12" s="36">
        <v>8</v>
      </c>
      <c r="D12" s="53">
        <v>15</v>
      </c>
      <c r="E12" s="53"/>
      <c r="F12" s="53" t="s">
        <v>11</v>
      </c>
      <c r="G12" s="54">
        <v>39633</v>
      </c>
      <c r="H12" s="53"/>
      <c r="I12" s="53">
        <v>854</v>
      </c>
      <c r="J12" s="39" t="s">
        <v>33</v>
      </c>
      <c r="K12" s="39" t="s">
        <v>965</v>
      </c>
      <c r="L12" s="39"/>
      <c r="M12" s="39"/>
      <c r="N12" s="39"/>
      <c r="O12" s="40"/>
    </row>
    <row r="13" spans="1:18" x14ac:dyDescent="0.55000000000000004">
      <c r="A13" s="24" t="str">
        <f>IF(COUNTIF(B13:$B$5014,B13)&gt;1,IF(COUNTIF($B$5:B13,B13)&gt;1,"",B13&amp;"-I"),B13)</f>
        <v>873-I</v>
      </c>
      <c r="B13" s="29">
        <f t="shared" si="0"/>
        <v>873</v>
      </c>
      <c r="C13" s="36">
        <v>9</v>
      </c>
      <c r="D13" s="53">
        <v>16</v>
      </c>
      <c r="E13" s="53"/>
      <c r="F13" s="53" t="s">
        <v>12</v>
      </c>
      <c r="G13" s="54">
        <v>39715</v>
      </c>
      <c r="H13" s="53"/>
      <c r="I13" s="53">
        <v>873</v>
      </c>
      <c r="J13" s="39" t="s">
        <v>33</v>
      </c>
      <c r="K13" s="39" t="s">
        <v>965</v>
      </c>
      <c r="L13" s="39"/>
      <c r="M13" s="39"/>
      <c r="N13" s="39"/>
      <c r="O13" s="40"/>
    </row>
    <row r="14" spans="1:18" x14ac:dyDescent="0.55000000000000004">
      <c r="A14" s="24" t="str">
        <f>IF(COUNTIF(B14:$B$5014,B14)&gt;1,IF(COUNTIF($B$5:B14,B14)&gt;1,"",B14&amp;"-I"),B14)</f>
        <v>880-I</v>
      </c>
      <c r="B14" s="29">
        <f t="shared" si="0"/>
        <v>880</v>
      </c>
      <c r="C14" s="36">
        <v>10</v>
      </c>
      <c r="D14" s="53">
        <v>19</v>
      </c>
      <c r="E14" s="53"/>
      <c r="F14" s="53" t="s">
        <v>12</v>
      </c>
      <c r="G14" s="54">
        <v>39752</v>
      </c>
      <c r="H14" s="53"/>
      <c r="I14" s="53">
        <v>880</v>
      </c>
      <c r="J14" s="39" t="s">
        <v>33</v>
      </c>
      <c r="K14" s="39" t="s">
        <v>965</v>
      </c>
      <c r="L14" s="39"/>
      <c r="M14" s="39"/>
      <c r="N14" s="39"/>
      <c r="O14" s="40"/>
    </row>
    <row r="15" spans="1:18" x14ac:dyDescent="0.55000000000000004">
      <c r="A15" s="24" t="str">
        <f>IF(COUNTIF(B15:$B$5014,B15)&gt;1,IF(COUNTIF($B$5:B15,B15)&gt;1,"",B15&amp;"-I"),B15)</f>
        <v>881-I</v>
      </c>
      <c r="B15" s="29">
        <f t="shared" si="0"/>
        <v>881</v>
      </c>
      <c r="C15" s="36">
        <v>11</v>
      </c>
      <c r="D15" s="53">
        <v>23</v>
      </c>
      <c r="E15" s="53"/>
      <c r="F15" s="53" t="s">
        <v>12</v>
      </c>
      <c r="G15" s="54">
        <v>39754</v>
      </c>
      <c r="H15" s="53"/>
      <c r="I15" s="53">
        <v>881</v>
      </c>
      <c r="J15" s="39" t="s">
        <v>33</v>
      </c>
      <c r="K15" s="39" t="s">
        <v>965</v>
      </c>
      <c r="L15" s="39"/>
      <c r="M15" s="39"/>
      <c r="N15" s="39"/>
      <c r="O15" s="40"/>
    </row>
    <row r="16" spans="1:18" x14ac:dyDescent="0.55000000000000004">
      <c r="A16" s="24" t="str">
        <f>IF(COUNTIF(B16:$B$5014,B16)&gt;1,IF(COUNTIF($B$5:B16,B16)&gt;1,"",B16&amp;"-I"),B16)</f>
        <v>886-I</v>
      </c>
      <c r="B16" s="29">
        <f t="shared" si="0"/>
        <v>886</v>
      </c>
      <c r="C16" s="36">
        <v>12</v>
      </c>
      <c r="D16" s="53">
        <v>24</v>
      </c>
      <c r="E16" s="53"/>
      <c r="F16" s="53" t="s">
        <v>12</v>
      </c>
      <c r="G16" s="54">
        <v>39755</v>
      </c>
      <c r="H16" s="53"/>
      <c r="I16" s="53">
        <v>886</v>
      </c>
      <c r="J16" s="39" t="s">
        <v>33</v>
      </c>
      <c r="K16" s="39" t="s">
        <v>965</v>
      </c>
      <c r="L16" s="39"/>
      <c r="M16" s="39"/>
      <c r="N16" s="39"/>
      <c r="O16" s="40"/>
    </row>
    <row r="17" spans="1:15" x14ac:dyDescent="0.55000000000000004">
      <c r="A17" s="24" t="str">
        <f>IF(COUNTIF(B17:$B$5014,B17)&gt;1,IF(COUNTIF($B$5:B17,B17)&gt;1,"",B17&amp;"-I"),B17)</f>
        <v>897-I</v>
      </c>
      <c r="B17" s="29">
        <f t="shared" si="0"/>
        <v>897</v>
      </c>
      <c r="C17" s="36" t="s">
        <v>34</v>
      </c>
      <c r="D17" s="53">
        <v>25</v>
      </c>
      <c r="E17" s="53"/>
      <c r="F17" s="53" t="s">
        <v>11</v>
      </c>
      <c r="G17" s="54">
        <v>39755</v>
      </c>
      <c r="H17" s="53"/>
      <c r="I17" s="53">
        <v>897</v>
      </c>
      <c r="J17" s="39" t="s">
        <v>33</v>
      </c>
      <c r="K17" s="39" t="s">
        <v>965</v>
      </c>
      <c r="L17" s="39"/>
      <c r="M17" s="39"/>
      <c r="N17" s="39"/>
      <c r="O17" s="40"/>
    </row>
    <row r="18" spans="1:15" x14ac:dyDescent="0.55000000000000004">
      <c r="A18" s="24" t="str">
        <f>IF(COUNTIF(B18:$B$5014,B18)&gt;1,IF(COUNTIF($B$5:B18,B18)&gt;1,"",B18&amp;"-I"),B18)</f>
        <v>898-I</v>
      </c>
      <c r="B18" s="29">
        <f t="shared" si="0"/>
        <v>898</v>
      </c>
      <c r="C18" s="36" t="s">
        <v>35</v>
      </c>
      <c r="D18" s="53">
        <v>26</v>
      </c>
      <c r="E18" s="53"/>
      <c r="F18" s="53" t="s">
        <v>12</v>
      </c>
      <c r="G18" s="54">
        <v>39790</v>
      </c>
      <c r="H18" s="53"/>
      <c r="I18" s="53">
        <v>898</v>
      </c>
      <c r="J18" s="39" t="s">
        <v>33</v>
      </c>
      <c r="K18" s="39" t="s">
        <v>965</v>
      </c>
      <c r="L18" s="39"/>
      <c r="M18" s="39"/>
      <c r="N18" s="39"/>
      <c r="O18" s="40"/>
    </row>
    <row r="19" spans="1:15" x14ac:dyDescent="0.55000000000000004">
      <c r="A19" s="24" t="str">
        <f>IF(COUNTIF(B19:$B$5014,B19)&gt;1,IF(COUNTIF($B$5:B19,B19)&gt;1,"",B19&amp;"-I"),B19)</f>
        <v>890-I</v>
      </c>
      <c r="B19" s="29">
        <f t="shared" si="0"/>
        <v>890</v>
      </c>
      <c r="C19" s="36" t="s">
        <v>36</v>
      </c>
      <c r="D19" s="53">
        <v>27</v>
      </c>
      <c r="E19" s="53"/>
      <c r="F19" s="53" t="s">
        <v>12</v>
      </c>
      <c r="G19" s="54">
        <v>39788</v>
      </c>
      <c r="H19" s="53"/>
      <c r="I19" s="53">
        <v>890</v>
      </c>
      <c r="J19" s="39" t="s">
        <v>33</v>
      </c>
      <c r="K19" s="39" t="s">
        <v>965</v>
      </c>
      <c r="L19" s="39"/>
      <c r="M19" s="39"/>
      <c r="N19" s="39"/>
      <c r="O19" s="40"/>
    </row>
    <row r="20" spans="1:15" x14ac:dyDescent="0.55000000000000004">
      <c r="A20" s="24" t="str">
        <f>IF(COUNTIF(B20:$B$5014,B20)&gt;1,IF(COUNTIF($B$5:B20,B20)&gt;1,"",B20&amp;"-I"),B20)</f>
        <v>885-I</v>
      </c>
      <c r="B20" s="29">
        <f t="shared" si="0"/>
        <v>885</v>
      </c>
      <c r="C20" s="36" t="s">
        <v>37</v>
      </c>
      <c r="D20" s="53">
        <v>31</v>
      </c>
      <c r="E20" s="53"/>
      <c r="F20" s="53" t="s">
        <v>12</v>
      </c>
      <c r="G20" s="54">
        <v>39834</v>
      </c>
      <c r="H20" s="53"/>
      <c r="I20" s="53">
        <v>885</v>
      </c>
      <c r="J20" s="39" t="s">
        <v>33</v>
      </c>
      <c r="K20" s="39" t="s">
        <v>965</v>
      </c>
      <c r="L20" s="39"/>
      <c r="M20" s="39"/>
      <c r="N20" s="39"/>
      <c r="O20" s="40"/>
    </row>
    <row r="21" spans="1:15" x14ac:dyDescent="0.55000000000000004">
      <c r="A21" s="24" t="str">
        <f>IF(COUNTIF(B21:$B$5014,B21)&gt;1,IF(COUNTIF($B$5:B21,B21)&gt;1,"",B21&amp;"-I"),B21)</f>
        <v>877-I</v>
      </c>
      <c r="B21" s="29">
        <f t="shared" si="0"/>
        <v>877</v>
      </c>
      <c r="C21" s="36" t="s">
        <v>38</v>
      </c>
      <c r="D21" s="53">
        <v>32</v>
      </c>
      <c r="E21" s="53"/>
      <c r="F21" s="53" t="s">
        <v>11</v>
      </c>
      <c r="G21" s="54">
        <v>39835</v>
      </c>
      <c r="H21" s="53"/>
      <c r="I21" s="53">
        <v>877</v>
      </c>
      <c r="J21" s="39" t="s">
        <v>33</v>
      </c>
      <c r="K21" s="39" t="s">
        <v>965</v>
      </c>
      <c r="L21" s="39"/>
      <c r="M21" s="39"/>
      <c r="N21" s="39"/>
      <c r="O21" s="40"/>
    </row>
    <row r="22" spans="1:15" x14ac:dyDescent="0.55000000000000004">
      <c r="A22" s="24" t="str">
        <f>IF(COUNTIF(B22:$B$5014,B22)&gt;1,IF(COUNTIF($B$5:B22,B22)&gt;1,"",B22&amp;"-I"),B22)</f>
        <v>869-I</v>
      </c>
      <c r="B22" s="29">
        <f t="shared" si="0"/>
        <v>869</v>
      </c>
      <c r="C22" s="36" t="s">
        <v>39</v>
      </c>
      <c r="D22" s="53">
        <v>33</v>
      </c>
      <c r="E22" s="53"/>
      <c r="F22" s="53" t="s">
        <v>12</v>
      </c>
      <c r="G22" s="54">
        <v>39842</v>
      </c>
      <c r="H22" s="53"/>
      <c r="I22" s="53">
        <v>869</v>
      </c>
      <c r="J22" s="39" t="s">
        <v>33</v>
      </c>
      <c r="K22" s="39" t="s">
        <v>965</v>
      </c>
      <c r="L22" s="39"/>
      <c r="M22" s="39"/>
      <c r="N22" s="39"/>
      <c r="O22" s="40"/>
    </row>
    <row r="23" spans="1:15" x14ac:dyDescent="0.55000000000000004">
      <c r="A23" s="24" t="str">
        <f>IF(COUNTIF(B23:$B$5014,B23)&gt;1,IF(COUNTIF($B$5:B23,B23)&gt;1,"",B23&amp;"-I"),B23)</f>
        <v>926-I</v>
      </c>
      <c r="B23" s="29">
        <f t="shared" si="0"/>
        <v>926</v>
      </c>
      <c r="C23" s="36" t="s">
        <v>40</v>
      </c>
      <c r="D23" s="53">
        <v>35</v>
      </c>
      <c r="E23" s="53"/>
      <c r="F23" s="53" t="s">
        <v>12</v>
      </c>
      <c r="G23" s="54">
        <v>39838</v>
      </c>
      <c r="H23" s="53"/>
      <c r="I23" s="53">
        <v>926</v>
      </c>
      <c r="J23" s="39" t="s">
        <v>33</v>
      </c>
      <c r="K23" s="39" t="s">
        <v>965</v>
      </c>
      <c r="L23" s="39"/>
      <c r="M23" s="39"/>
      <c r="N23" s="39"/>
      <c r="O23" s="40"/>
    </row>
    <row r="24" spans="1:15" x14ac:dyDescent="0.55000000000000004">
      <c r="A24" s="24" t="str">
        <f>IF(COUNTIF(B24:$B$5014,B24)&gt;1,IF(COUNTIF($B$5:B24,B24)&gt;1,"",B24&amp;"-I"),B24)</f>
        <v>858-I</v>
      </c>
      <c r="B24" s="29">
        <f t="shared" si="0"/>
        <v>858</v>
      </c>
      <c r="C24" s="36" t="s">
        <v>41</v>
      </c>
      <c r="D24" s="53">
        <v>36</v>
      </c>
      <c r="E24" s="53"/>
      <c r="F24" s="53" t="s">
        <v>12</v>
      </c>
      <c r="G24" s="54">
        <v>39840</v>
      </c>
      <c r="H24" s="53"/>
      <c r="I24" s="53">
        <v>858</v>
      </c>
      <c r="J24" s="39" t="s">
        <v>33</v>
      </c>
      <c r="K24" s="39" t="s">
        <v>965</v>
      </c>
      <c r="L24" s="39"/>
      <c r="M24" s="39"/>
      <c r="N24" s="39"/>
      <c r="O24" s="40"/>
    </row>
    <row r="25" spans="1:15" x14ac:dyDescent="0.55000000000000004">
      <c r="A25" s="24" t="str">
        <f>IF(COUNTIF(B25:$B$5014,B25)&gt;1,IF(COUNTIF($B$5:B25,B25)&gt;1,"",B25&amp;"-I"),B25)</f>
        <v>862-I</v>
      </c>
      <c r="B25" s="29">
        <f t="shared" si="0"/>
        <v>862</v>
      </c>
      <c r="C25" s="36" t="s">
        <v>42</v>
      </c>
      <c r="D25" s="53">
        <v>37</v>
      </c>
      <c r="E25" s="53"/>
      <c r="F25" s="53" t="s">
        <v>12</v>
      </c>
      <c r="G25" s="54">
        <v>39842</v>
      </c>
      <c r="H25" s="53"/>
      <c r="I25" s="53">
        <v>862</v>
      </c>
      <c r="J25" s="39" t="s">
        <v>33</v>
      </c>
      <c r="K25" s="39" t="s">
        <v>965</v>
      </c>
      <c r="L25" s="39"/>
      <c r="M25" s="39"/>
      <c r="N25" s="39"/>
      <c r="O25" s="40"/>
    </row>
    <row r="26" spans="1:15" x14ac:dyDescent="0.55000000000000004">
      <c r="A26" s="24" t="str">
        <f>IF(COUNTIF(B26:$B$5014,B26)&gt;1,IF(COUNTIF($B$5:B26,B26)&gt;1,"",B26&amp;"-I"),B26)</f>
        <v>900-I</v>
      </c>
      <c r="B26" s="29">
        <f t="shared" si="0"/>
        <v>900</v>
      </c>
      <c r="C26" s="36" t="s">
        <v>43</v>
      </c>
      <c r="D26" s="53">
        <v>40</v>
      </c>
      <c r="E26" s="53"/>
      <c r="F26" s="53" t="s">
        <v>11</v>
      </c>
      <c r="G26" s="54">
        <v>39846</v>
      </c>
      <c r="H26" s="53"/>
      <c r="I26" s="53">
        <v>900</v>
      </c>
      <c r="J26" s="39" t="s">
        <v>33</v>
      </c>
      <c r="K26" s="39" t="s">
        <v>965</v>
      </c>
      <c r="L26" s="39"/>
      <c r="M26" s="39"/>
      <c r="N26" s="39"/>
      <c r="O26" s="40"/>
    </row>
    <row r="27" spans="1:15" x14ac:dyDescent="0.55000000000000004">
      <c r="A27" s="24" t="str">
        <f>IF(COUNTIF(B27:$B$5014,B27)&gt;1,IF(COUNTIF($B$5:B27,B27)&gt;1,"",B27&amp;"-I"),B27)</f>
        <v>874-I</v>
      </c>
      <c r="B27" s="29">
        <f t="shared" si="0"/>
        <v>874</v>
      </c>
      <c r="C27" s="36" t="s">
        <v>44</v>
      </c>
      <c r="D27" s="53">
        <v>42</v>
      </c>
      <c r="E27" s="53"/>
      <c r="F27" s="53" t="s">
        <v>12</v>
      </c>
      <c r="G27" s="54">
        <v>39846</v>
      </c>
      <c r="H27" s="53"/>
      <c r="I27" s="53">
        <v>874</v>
      </c>
      <c r="J27" s="39" t="s">
        <v>33</v>
      </c>
      <c r="K27" s="39" t="s">
        <v>965</v>
      </c>
      <c r="L27" s="39"/>
      <c r="M27" s="39"/>
      <c r="N27" s="39"/>
      <c r="O27" s="40"/>
    </row>
    <row r="28" spans="1:15" x14ac:dyDescent="0.55000000000000004">
      <c r="A28" s="24" t="str">
        <f>IF(COUNTIF(B28:$B$5014,B28)&gt;1,IF(COUNTIF($B$5:B28,B28)&gt;1,"",B28&amp;"-I"),B28)</f>
        <v>894-I</v>
      </c>
      <c r="B28" s="29">
        <f t="shared" si="0"/>
        <v>894</v>
      </c>
      <c r="C28" s="36" t="s">
        <v>45</v>
      </c>
      <c r="D28" s="53">
        <v>43</v>
      </c>
      <c r="E28" s="53"/>
      <c r="F28" s="53" t="s">
        <v>12</v>
      </c>
      <c r="G28" s="54">
        <v>39846</v>
      </c>
      <c r="H28" s="53"/>
      <c r="I28" s="53">
        <v>894</v>
      </c>
      <c r="J28" s="39" t="s">
        <v>33</v>
      </c>
      <c r="K28" s="39" t="s">
        <v>965</v>
      </c>
      <c r="L28" s="39"/>
      <c r="M28" s="39"/>
      <c r="N28" s="39"/>
      <c r="O28" s="40"/>
    </row>
    <row r="29" spans="1:15" x14ac:dyDescent="0.55000000000000004">
      <c r="A29" s="24" t="str">
        <f>IF(COUNTIF(B29:$B$5014,B29)&gt;1,IF(COUNTIF($B$5:B29,B29)&gt;1,"",B29&amp;"-I"),B29)</f>
        <v>875-I</v>
      </c>
      <c r="B29" s="29">
        <f t="shared" si="0"/>
        <v>875</v>
      </c>
      <c r="C29" s="36" t="s">
        <v>46</v>
      </c>
      <c r="D29" s="53">
        <v>44</v>
      </c>
      <c r="E29" s="53"/>
      <c r="F29" s="53" t="s">
        <v>11</v>
      </c>
      <c r="G29" s="54">
        <v>39853</v>
      </c>
      <c r="H29" s="53"/>
      <c r="I29" s="53">
        <v>875</v>
      </c>
      <c r="J29" s="39" t="s">
        <v>33</v>
      </c>
      <c r="K29" s="39" t="s">
        <v>965</v>
      </c>
      <c r="L29" s="39"/>
      <c r="M29" s="39"/>
      <c r="N29" s="39"/>
      <c r="O29" s="40"/>
    </row>
    <row r="30" spans="1:15" x14ac:dyDescent="0.55000000000000004">
      <c r="A30" s="24" t="str">
        <f>IF(COUNTIF(B30:$B$5014,B30)&gt;1,IF(COUNTIF($B$5:B30,B30)&gt;1,"",B30&amp;"-I"),B30)</f>
        <v>884-I</v>
      </c>
      <c r="B30" s="29">
        <f t="shared" si="0"/>
        <v>884</v>
      </c>
      <c r="C30" s="36" t="s">
        <v>47</v>
      </c>
      <c r="D30" s="53">
        <v>45</v>
      </c>
      <c r="E30" s="53"/>
      <c r="F30" s="53" t="s">
        <v>12</v>
      </c>
      <c r="G30" s="54">
        <v>39854</v>
      </c>
      <c r="H30" s="53"/>
      <c r="I30" s="53">
        <v>884</v>
      </c>
      <c r="J30" s="39" t="s">
        <v>33</v>
      </c>
      <c r="K30" s="39" t="s">
        <v>965</v>
      </c>
      <c r="L30" s="39"/>
      <c r="M30" s="39"/>
      <c r="N30" s="39"/>
      <c r="O30" s="40"/>
    </row>
    <row r="31" spans="1:15" x14ac:dyDescent="0.55000000000000004">
      <c r="A31" s="24" t="str">
        <f>IF(COUNTIF(B31:$B$5014,B31)&gt;1,IF(COUNTIF($B$5:B31,B31)&gt;1,"",B31&amp;"-I"),B31)</f>
        <v>876-I</v>
      </c>
      <c r="B31" s="29">
        <f t="shared" si="0"/>
        <v>876</v>
      </c>
      <c r="C31" s="36" t="s">
        <v>48</v>
      </c>
      <c r="D31" s="53">
        <v>48</v>
      </c>
      <c r="E31" s="53"/>
      <c r="F31" s="53" t="s">
        <v>12</v>
      </c>
      <c r="G31" s="54">
        <v>39851</v>
      </c>
      <c r="H31" s="53"/>
      <c r="I31" s="53">
        <v>876</v>
      </c>
      <c r="J31" s="39" t="s">
        <v>33</v>
      </c>
      <c r="K31" s="39" t="s">
        <v>965</v>
      </c>
      <c r="L31" s="39"/>
      <c r="M31" s="39"/>
      <c r="N31" s="39"/>
      <c r="O31" s="40"/>
    </row>
    <row r="32" spans="1:15" x14ac:dyDescent="0.55000000000000004">
      <c r="A32" s="24" t="str">
        <f>IF(COUNTIF(B32:$B$5014,B32)&gt;1,IF(COUNTIF($B$5:B32,B32)&gt;1,"",B32&amp;"-I"),B32)</f>
        <v>865-I</v>
      </c>
      <c r="B32" s="29">
        <f t="shared" si="0"/>
        <v>865</v>
      </c>
      <c r="C32" s="36" t="s">
        <v>49</v>
      </c>
      <c r="D32" s="53">
        <v>49</v>
      </c>
      <c r="E32" s="53"/>
      <c r="F32" s="53" t="s">
        <v>11</v>
      </c>
      <c r="G32" s="54">
        <v>40031</v>
      </c>
      <c r="H32" s="53"/>
      <c r="I32" s="53">
        <v>865</v>
      </c>
      <c r="J32" s="39" t="s">
        <v>33</v>
      </c>
      <c r="K32" s="39" t="s">
        <v>965</v>
      </c>
      <c r="L32" s="39"/>
      <c r="M32" s="39"/>
      <c r="N32" s="39"/>
      <c r="O32" s="40"/>
    </row>
    <row r="33" spans="1:15" x14ac:dyDescent="0.55000000000000004">
      <c r="A33" s="24" t="str">
        <f>IF(COUNTIF(B33:$B$5014,B33)&gt;1,IF(COUNTIF($B$5:B33,B33)&gt;1,"",B33&amp;"-I"),B33)</f>
        <v>896-I</v>
      </c>
      <c r="B33" s="29">
        <f t="shared" si="0"/>
        <v>896</v>
      </c>
      <c r="C33" s="36" t="s">
        <v>50</v>
      </c>
      <c r="D33" s="53">
        <v>50</v>
      </c>
      <c r="E33" s="53"/>
      <c r="F33" s="53" t="s">
        <v>12</v>
      </c>
      <c r="G33" s="54">
        <v>39878</v>
      </c>
      <c r="H33" s="53"/>
      <c r="I33" s="53">
        <v>896</v>
      </c>
      <c r="J33" s="39" t="s">
        <v>33</v>
      </c>
      <c r="K33" s="39" t="s">
        <v>965</v>
      </c>
      <c r="L33" s="39"/>
      <c r="M33" s="39"/>
      <c r="N33" s="39"/>
      <c r="O33" s="40"/>
    </row>
    <row r="34" spans="1:15" x14ac:dyDescent="0.55000000000000004">
      <c r="A34" s="24" t="str">
        <f>IF(COUNTIF(B34:$B$5014,B34)&gt;1,IF(COUNTIF($B$5:B34,B34)&gt;1,"",B34&amp;"-I"),B34)</f>
        <v>867-I</v>
      </c>
      <c r="B34" s="29">
        <f t="shared" si="0"/>
        <v>867</v>
      </c>
      <c r="C34" s="36" t="s">
        <v>51</v>
      </c>
      <c r="D34" s="53">
        <v>52</v>
      </c>
      <c r="E34" s="53"/>
      <c r="F34" s="53" t="s">
        <v>12</v>
      </c>
      <c r="G34" s="54">
        <v>40047</v>
      </c>
      <c r="H34" s="53"/>
      <c r="I34" s="53">
        <v>867</v>
      </c>
      <c r="J34" s="39" t="s">
        <v>33</v>
      </c>
      <c r="K34" s="39" t="s">
        <v>965</v>
      </c>
      <c r="L34" s="39"/>
      <c r="M34" s="39"/>
      <c r="N34" s="39"/>
      <c r="O34" s="40"/>
    </row>
    <row r="35" spans="1:15" x14ac:dyDescent="0.55000000000000004">
      <c r="A35" s="24" t="str">
        <f>IF(COUNTIF(B35:$B$5014,B35)&gt;1,IF(COUNTIF($B$5:B35,B35)&gt;1,"",B35&amp;"-I"),B35)</f>
        <v>893-I</v>
      </c>
      <c r="B35" s="29">
        <f t="shared" si="0"/>
        <v>893</v>
      </c>
      <c r="C35" s="36" t="s">
        <v>52</v>
      </c>
      <c r="D35" s="53">
        <v>54</v>
      </c>
      <c r="E35" s="53"/>
      <c r="F35" s="53" t="s">
        <v>12</v>
      </c>
      <c r="G35" s="54">
        <v>39951</v>
      </c>
      <c r="H35" s="53"/>
      <c r="I35" s="53">
        <v>893</v>
      </c>
      <c r="J35" s="39" t="s">
        <v>33</v>
      </c>
      <c r="K35" s="39" t="s">
        <v>965</v>
      </c>
      <c r="L35" s="39"/>
      <c r="M35" s="39"/>
      <c r="N35" s="39"/>
      <c r="O35" s="40"/>
    </row>
    <row r="36" spans="1:15" x14ac:dyDescent="0.55000000000000004">
      <c r="A36" s="24" t="str">
        <f>IF(COUNTIF(B36:$B$5014,B36)&gt;1,IF(COUNTIF($B$5:B36,B36)&gt;1,"",B36&amp;"-I"),B36)</f>
        <v>899-I</v>
      </c>
      <c r="B36" s="29">
        <f t="shared" si="0"/>
        <v>899</v>
      </c>
      <c r="C36" s="36" t="s">
        <v>53</v>
      </c>
      <c r="D36" s="53">
        <v>55</v>
      </c>
      <c r="E36" s="53"/>
      <c r="F36" s="53" t="s">
        <v>11</v>
      </c>
      <c r="G36" s="54">
        <v>39976</v>
      </c>
      <c r="H36" s="53"/>
      <c r="I36" s="53">
        <v>899</v>
      </c>
      <c r="J36" s="39" t="s">
        <v>33</v>
      </c>
      <c r="K36" s="39" t="s">
        <v>965</v>
      </c>
      <c r="L36" s="39"/>
      <c r="M36" s="39"/>
      <c r="N36" s="39"/>
      <c r="O36" s="40"/>
    </row>
    <row r="37" spans="1:15" x14ac:dyDescent="0.55000000000000004">
      <c r="A37" s="24" t="str">
        <f>IF(COUNTIF(B37:$B$5014,B37)&gt;1,IF(COUNTIF($B$5:B37,B37)&gt;1,"",B37&amp;"-I"),B37)</f>
        <v/>
      </c>
      <c r="B37" s="29">
        <f t="shared" si="0"/>
        <v>871</v>
      </c>
      <c r="C37" s="36" t="s">
        <v>54</v>
      </c>
      <c r="D37" s="53">
        <v>58</v>
      </c>
      <c r="E37" s="53"/>
      <c r="F37" s="53" t="s">
        <v>11</v>
      </c>
      <c r="G37" s="54">
        <v>40003</v>
      </c>
      <c r="H37" s="53"/>
      <c r="I37" s="53">
        <v>871</v>
      </c>
      <c r="J37" s="39" t="s">
        <v>33</v>
      </c>
      <c r="K37" s="39" t="s">
        <v>965</v>
      </c>
      <c r="L37" s="39"/>
      <c r="M37" s="39"/>
      <c r="N37" s="39"/>
      <c r="O37" s="40"/>
    </row>
    <row r="38" spans="1:15" x14ac:dyDescent="0.55000000000000004">
      <c r="A38" s="24" t="str">
        <f>IF(COUNTIF(B38:$B$5014,B38)&gt;1,IF(COUNTIF($B$5:B38,B38)&gt;1,"",B38&amp;"-I"),B38)</f>
        <v>946-I</v>
      </c>
      <c r="B38" s="29">
        <f t="shared" si="0"/>
        <v>946</v>
      </c>
      <c r="C38" s="36" t="s">
        <v>55</v>
      </c>
      <c r="D38" s="53">
        <v>62</v>
      </c>
      <c r="E38" s="53"/>
      <c r="F38" s="53" t="s">
        <v>11</v>
      </c>
      <c r="G38" s="54">
        <v>40050</v>
      </c>
      <c r="H38" s="53"/>
      <c r="I38" s="53">
        <v>946</v>
      </c>
      <c r="J38" s="39" t="s">
        <v>33</v>
      </c>
      <c r="K38" s="39" t="s">
        <v>965</v>
      </c>
      <c r="L38" s="39"/>
      <c r="M38" s="39"/>
      <c r="N38" s="39"/>
      <c r="O38" s="40"/>
    </row>
    <row r="39" spans="1:15" x14ac:dyDescent="0.55000000000000004">
      <c r="A39" s="24" t="str">
        <f>IF(COUNTIF(B39:$B$5014,B39)&gt;1,IF(COUNTIF($B$5:B39,B39)&gt;1,"",B39&amp;"-I"),B39)</f>
        <v>930-I</v>
      </c>
      <c r="B39" s="29">
        <f t="shared" si="0"/>
        <v>930</v>
      </c>
      <c r="C39" s="36" t="s">
        <v>56</v>
      </c>
      <c r="D39" s="53">
        <v>64</v>
      </c>
      <c r="E39" s="53"/>
      <c r="F39" s="53" t="s">
        <v>11</v>
      </c>
      <c r="G39" s="54">
        <v>40051</v>
      </c>
      <c r="H39" s="53"/>
      <c r="I39" s="53">
        <v>930</v>
      </c>
      <c r="J39" s="39" t="s">
        <v>33</v>
      </c>
      <c r="K39" s="39" t="s">
        <v>965</v>
      </c>
      <c r="L39" s="39"/>
      <c r="M39" s="39"/>
      <c r="N39" s="39"/>
      <c r="O39" s="40"/>
    </row>
    <row r="40" spans="1:15" x14ac:dyDescent="0.55000000000000004">
      <c r="A40" s="24" t="str">
        <f>IF(COUNTIF(B40:$B$5014,B40)&gt;1,IF(COUNTIF($B$5:B40,B40)&gt;1,"",B40&amp;"-I"),B40)</f>
        <v>942-I</v>
      </c>
      <c r="B40" s="29">
        <f t="shared" si="0"/>
        <v>942</v>
      </c>
      <c r="C40" s="36" t="s">
        <v>57</v>
      </c>
      <c r="D40" s="53">
        <v>66</v>
      </c>
      <c r="E40" s="53"/>
      <c r="F40" s="53" t="s">
        <v>11</v>
      </c>
      <c r="G40" s="54">
        <v>40052</v>
      </c>
      <c r="H40" s="53"/>
      <c r="I40" s="53">
        <v>942</v>
      </c>
      <c r="J40" s="39" t="s">
        <v>33</v>
      </c>
      <c r="K40" s="39" t="s">
        <v>965</v>
      </c>
      <c r="L40" s="39"/>
      <c r="M40" s="39"/>
      <c r="N40" s="39"/>
      <c r="O40" s="40"/>
    </row>
    <row r="41" spans="1:15" x14ac:dyDescent="0.55000000000000004">
      <c r="A41" s="24" t="str">
        <f>IF(COUNTIF(B41:$B$5014,B41)&gt;1,IF(COUNTIF($B$5:B41,B41)&gt;1,"",B41&amp;"-I"),B41)</f>
        <v>950-I</v>
      </c>
      <c r="B41" s="29">
        <f t="shared" si="0"/>
        <v>950</v>
      </c>
      <c r="C41" s="36" t="s">
        <v>58</v>
      </c>
      <c r="D41" s="53">
        <v>68</v>
      </c>
      <c r="E41" s="53"/>
      <c r="F41" s="53" t="s">
        <v>12</v>
      </c>
      <c r="G41" s="54">
        <v>40055</v>
      </c>
      <c r="H41" s="53"/>
      <c r="I41" s="53">
        <v>950</v>
      </c>
      <c r="J41" s="39" t="s">
        <v>33</v>
      </c>
      <c r="K41" s="39" t="s">
        <v>965</v>
      </c>
      <c r="L41" s="39"/>
      <c r="M41" s="39"/>
      <c r="N41" s="39"/>
      <c r="O41" s="40"/>
    </row>
    <row r="42" spans="1:15" x14ac:dyDescent="0.55000000000000004">
      <c r="A42" s="24" t="str">
        <f>IF(COUNTIF(B42:$B$5014,B42)&gt;1,IF(COUNTIF($B$5:B42,B42)&gt;1,"",B42&amp;"-I"),B42)</f>
        <v>934-I</v>
      </c>
      <c r="B42" s="29">
        <f t="shared" si="0"/>
        <v>934</v>
      </c>
      <c r="C42" s="36" t="s">
        <v>59</v>
      </c>
      <c r="D42" s="53">
        <v>70</v>
      </c>
      <c r="E42" s="53"/>
      <c r="F42" s="53" t="s">
        <v>11</v>
      </c>
      <c r="G42" s="54">
        <v>40060</v>
      </c>
      <c r="H42" s="53"/>
      <c r="I42" s="53">
        <v>934</v>
      </c>
      <c r="J42" s="39" t="s">
        <v>33</v>
      </c>
      <c r="K42" s="39" t="s">
        <v>965</v>
      </c>
      <c r="L42" s="39"/>
      <c r="M42" s="39"/>
      <c r="N42" s="39"/>
      <c r="O42" s="40"/>
    </row>
    <row r="43" spans="1:15" x14ac:dyDescent="0.55000000000000004">
      <c r="A43" s="24" t="str">
        <f>IF(COUNTIF(B43:$B$5014,B43)&gt;1,IF(COUNTIF($B$5:B43,B43)&gt;1,"",B43&amp;"-I"),B43)</f>
        <v>933-I</v>
      </c>
      <c r="B43" s="29">
        <f t="shared" si="0"/>
        <v>933</v>
      </c>
      <c r="C43" s="36" t="s">
        <v>60</v>
      </c>
      <c r="D43" s="53">
        <v>71</v>
      </c>
      <c r="E43" s="53"/>
      <c r="F43" s="53" t="s">
        <v>12</v>
      </c>
      <c r="G43" s="54">
        <v>40059</v>
      </c>
      <c r="H43" s="53"/>
      <c r="I43" s="53">
        <v>933</v>
      </c>
      <c r="J43" s="39" t="s">
        <v>33</v>
      </c>
      <c r="K43" s="39" t="s">
        <v>965</v>
      </c>
      <c r="L43" s="39"/>
      <c r="M43" s="39"/>
      <c r="N43" s="39"/>
      <c r="O43" s="40"/>
    </row>
    <row r="44" spans="1:15" x14ac:dyDescent="0.55000000000000004">
      <c r="A44" s="24" t="str">
        <f>IF(COUNTIF(B44:$B$5014,B44)&gt;1,IF(COUNTIF($B$5:B44,B44)&gt;1,"",B44&amp;"-I"),B44)</f>
        <v>928-I</v>
      </c>
      <c r="B44" s="29">
        <f t="shared" si="0"/>
        <v>928</v>
      </c>
      <c r="C44" s="36" t="s">
        <v>61</v>
      </c>
      <c r="D44" s="53">
        <v>75</v>
      </c>
      <c r="E44" s="53"/>
      <c r="F44" s="53" t="s">
        <v>12</v>
      </c>
      <c r="G44" s="54">
        <v>40062</v>
      </c>
      <c r="H44" s="53"/>
      <c r="I44" s="53">
        <v>928</v>
      </c>
      <c r="J44" s="39" t="s">
        <v>33</v>
      </c>
      <c r="K44" s="39" t="s">
        <v>965</v>
      </c>
      <c r="L44" s="39"/>
      <c r="M44" s="39"/>
      <c r="N44" s="39"/>
      <c r="O44" s="40"/>
    </row>
    <row r="45" spans="1:15" x14ac:dyDescent="0.55000000000000004">
      <c r="A45" s="24" t="str">
        <f>IF(COUNTIF(B45:$B$5014,B45)&gt;1,IF(COUNTIF($B$5:B45,B45)&gt;1,"",B45&amp;"-I"),B45)</f>
        <v>951-I</v>
      </c>
      <c r="B45" s="29">
        <f t="shared" si="0"/>
        <v>951</v>
      </c>
      <c r="C45" s="36" t="s">
        <v>62</v>
      </c>
      <c r="D45" s="53">
        <v>76</v>
      </c>
      <c r="E45" s="53"/>
      <c r="F45" s="53" t="s">
        <v>12</v>
      </c>
      <c r="G45" s="54">
        <v>40061</v>
      </c>
      <c r="H45" s="53"/>
      <c r="I45" s="53">
        <v>951</v>
      </c>
      <c r="J45" s="39" t="s">
        <v>33</v>
      </c>
      <c r="K45" s="39" t="s">
        <v>965</v>
      </c>
      <c r="L45" s="39"/>
      <c r="M45" s="39"/>
      <c r="N45" s="39"/>
      <c r="O45" s="40"/>
    </row>
    <row r="46" spans="1:15" x14ac:dyDescent="0.55000000000000004">
      <c r="A46" s="24" t="str">
        <f>IF(COUNTIF(B46:$B$5014,B46)&gt;1,IF(COUNTIF($B$5:B46,B46)&gt;1,"",B46&amp;"-I"),B46)</f>
        <v>947-I</v>
      </c>
      <c r="B46" s="29">
        <f t="shared" si="0"/>
        <v>947</v>
      </c>
      <c r="C46" s="36" t="s">
        <v>63</v>
      </c>
      <c r="D46" s="53">
        <v>77</v>
      </c>
      <c r="E46" s="53"/>
      <c r="F46" s="53" t="s">
        <v>11</v>
      </c>
      <c r="G46" s="54">
        <v>40062</v>
      </c>
      <c r="H46" s="53"/>
      <c r="I46" s="53">
        <v>947</v>
      </c>
      <c r="J46" s="39" t="s">
        <v>33</v>
      </c>
      <c r="K46" s="39" t="s">
        <v>965</v>
      </c>
      <c r="L46" s="39"/>
      <c r="M46" s="39"/>
      <c r="N46" s="39"/>
      <c r="O46" s="40"/>
    </row>
    <row r="47" spans="1:15" x14ac:dyDescent="0.55000000000000004">
      <c r="A47" s="24" t="str">
        <f>IF(COUNTIF(B47:$B$5014,B47)&gt;1,IF(COUNTIF($B$5:B47,B47)&gt;1,"",B47&amp;"-I"),B47)</f>
        <v>944-I</v>
      </c>
      <c r="B47" s="29">
        <f t="shared" si="0"/>
        <v>944</v>
      </c>
      <c r="C47" s="36" t="s">
        <v>64</v>
      </c>
      <c r="D47" s="53">
        <v>78</v>
      </c>
      <c r="E47" s="53"/>
      <c r="F47" s="53" t="s">
        <v>12</v>
      </c>
      <c r="G47" s="54">
        <v>40063</v>
      </c>
      <c r="H47" s="53"/>
      <c r="I47" s="53">
        <v>944</v>
      </c>
      <c r="J47" s="39" t="s">
        <v>33</v>
      </c>
      <c r="K47" s="39" t="s">
        <v>965</v>
      </c>
      <c r="L47" s="39"/>
      <c r="M47" s="39"/>
      <c r="N47" s="39"/>
      <c r="O47" s="40"/>
    </row>
    <row r="48" spans="1:15" x14ac:dyDescent="0.55000000000000004">
      <c r="A48" s="24" t="str">
        <f>IF(COUNTIF(B48:$B$5014,B48)&gt;1,IF(COUNTIF($B$5:B48,B48)&gt;1,"",B48&amp;"-I"),B48)</f>
        <v>945-I</v>
      </c>
      <c r="B48" s="29">
        <f t="shared" si="0"/>
        <v>945</v>
      </c>
      <c r="C48" s="36" t="s">
        <v>65</v>
      </c>
      <c r="D48" s="53">
        <v>79</v>
      </c>
      <c r="E48" s="53"/>
      <c r="F48" s="53" t="s">
        <v>12</v>
      </c>
      <c r="G48" s="54">
        <v>40065</v>
      </c>
      <c r="H48" s="53"/>
      <c r="I48" s="53">
        <v>945</v>
      </c>
      <c r="J48" s="39" t="s">
        <v>33</v>
      </c>
      <c r="K48" s="39" t="s">
        <v>965</v>
      </c>
      <c r="L48" s="39"/>
      <c r="M48" s="39"/>
      <c r="N48" s="39"/>
      <c r="O48" s="40"/>
    </row>
    <row r="49" spans="1:15" x14ac:dyDescent="0.55000000000000004">
      <c r="A49" s="24" t="str">
        <f>IF(COUNTIF(B49:$B$5014,B49)&gt;1,IF(COUNTIF($B$5:B49,B49)&gt;1,"",B49&amp;"-I"),B49)</f>
        <v>943-I</v>
      </c>
      <c r="B49" s="29">
        <f t="shared" si="0"/>
        <v>943</v>
      </c>
      <c r="C49" s="36" t="s">
        <v>66</v>
      </c>
      <c r="D49" s="53">
        <v>82</v>
      </c>
      <c r="E49" s="53"/>
      <c r="F49" s="53" t="s">
        <v>11</v>
      </c>
      <c r="G49" s="54">
        <v>40066</v>
      </c>
      <c r="H49" s="53"/>
      <c r="I49" s="53">
        <v>943</v>
      </c>
      <c r="J49" s="39" t="s">
        <v>33</v>
      </c>
      <c r="K49" s="39" t="s">
        <v>965</v>
      </c>
      <c r="L49" s="39"/>
      <c r="M49" s="39"/>
      <c r="N49" s="39"/>
      <c r="O49" s="40"/>
    </row>
    <row r="50" spans="1:15" x14ac:dyDescent="0.55000000000000004">
      <c r="A50" s="24" t="str">
        <f>IF(COUNTIF(B50:$B$5014,B50)&gt;1,IF(COUNTIF($B$5:B50,B50)&gt;1,"",B50&amp;"-I"),B50)</f>
        <v>931-I</v>
      </c>
      <c r="B50" s="29">
        <f t="shared" si="0"/>
        <v>931</v>
      </c>
      <c r="C50" s="36" t="s">
        <v>67</v>
      </c>
      <c r="D50" s="53">
        <v>84</v>
      </c>
      <c r="E50" s="53"/>
      <c r="F50" s="53" t="s">
        <v>11</v>
      </c>
      <c r="G50" s="54">
        <v>40072</v>
      </c>
      <c r="H50" s="53"/>
      <c r="I50" s="53">
        <v>931</v>
      </c>
      <c r="J50" s="39" t="s">
        <v>33</v>
      </c>
      <c r="K50" s="39" t="s">
        <v>965</v>
      </c>
      <c r="L50" s="39"/>
      <c r="M50" s="39"/>
      <c r="N50" s="39"/>
      <c r="O50" s="40"/>
    </row>
    <row r="51" spans="1:15" x14ac:dyDescent="0.55000000000000004">
      <c r="A51" s="24" t="str">
        <f>IF(COUNTIF(B51:$B$5014,B51)&gt;1,IF(COUNTIF($B$5:B51,B51)&gt;1,"",B51&amp;"-I"),B51)</f>
        <v>949-I</v>
      </c>
      <c r="B51" s="29">
        <f t="shared" si="0"/>
        <v>949</v>
      </c>
      <c r="C51" s="36" t="s">
        <v>68</v>
      </c>
      <c r="D51" s="53">
        <v>86</v>
      </c>
      <c r="E51" s="53"/>
      <c r="F51" s="53" t="s">
        <v>11</v>
      </c>
      <c r="G51" s="54">
        <v>40062</v>
      </c>
      <c r="H51" s="53"/>
      <c r="I51" s="53">
        <v>949</v>
      </c>
      <c r="J51" s="39" t="s">
        <v>33</v>
      </c>
      <c r="K51" s="39" t="s">
        <v>965</v>
      </c>
      <c r="L51" s="39"/>
      <c r="M51" s="39"/>
      <c r="N51" s="39"/>
      <c r="O51" s="40"/>
    </row>
    <row r="52" spans="1:15" x14ac:dyDescent="0.55000000000000004">
      <c r="A52" s="24" t="str">
        <f>IF(COUNTIF(B52:$B$5014,B52)&gt;1,IF(COUNTIF($B$5:B52,B52)&gt;1,"",B52&amp;"-I"),B52)</f>
        <v>929-I</v>
      </c>
      <c r="B52" s="29">
        <f t="shared" si="0"/>
        <v>929</v>
      </c>
      <c r="C52" s="36" t="s">
        <v>69</v>
      </c>
      <c r="D52" s="53">
        <v>87</v>
      </c>
      <c r="E52" s="53"/>
      <c r="F52" s="53" t="s">
        <v>11</v>
      </c>
      <c r="G52" s="54">
        <v>40080</v>
      </c>
      <c r="H52" s="53"/>
      <c r="I52" s="53">
        <v>929</v>
      </c>
      <c r="J52" s="39" t="s">
        <v>33</v>
      </c>
      <c r="K52" s="39" t="s">
        <v>965</v>
      </c>
      <c r="L52" s="39"/>
      <c r="M52" s="39"/>
      <c r="N52" s="39"/>
      <c r="O52" s="40"/>
    </row>
    <row r="53" spans="1:15" x14ac:dyDescent="0.55000000000000004">
      <c r="A53" s="24" t="str">
        <f>IF(COUNTIF(B53:$B$5014,B53)&gt;1,IF(COUNTIF($B$5:B53,B53)&gt;1,"",B53&amp;"-I"),B53)</f>
        <v>939-I</v>
      </c>
      <c r="B53" s="29">
        <f t="shared" si="0"/>
        <v>939</v>
      </c>
      <c r="C53" s="36" t="s">
        <v>70</v>
      </c>
      <c r="D53" s="53">
        <v>89</v>
      </c>
      <c r="E53" s="53"/>
      <c r="F53" s="53" t="s">
        <v>12</v>
      </c>
      <c r="G53" s="54">
        <v>40085</v>
      </c>
      <c r="H53" s="53"/>
      <c r="I53" s="53">
        <v>939</v>
      </c>
      <c r="J53" s="39" t="s">
        <v>33</v>
      </c>
      <c r="K53" s="39" t="s">
        <v>965</v>
      </c>
      <c r="L53" s="39"/>
      <c r="M53" s="39"/>
      <c r="N53" s="39"/>
      <c r="O53" s="40"/>
    </row>
    <row r="54" spans="1:15" x14ac:dyDescent="0.55000000000000004">
      <c r="A54" s="24" t="str">
        <f>IF(COUNTIF(B54:$B$5014,B54)&gt;1,IF(COUNTIF($B$5:B54,B54)&gt;1,"",B54&amp;"-I"),B54)</f>
        <v>860-I</v>
      </c>
      <c r="B54" s="29">
        <f t="shared" si="0"/>
        <v>860</v>
      </c>
      <c r="C54" s="36" t="s">
        <v>71</v>
      </c>
      <c r="D54" s="53">
        <v>91</v>
      </c>
      <c r="E54" s="53"/>
      <c r="F54" s="53" t="s">
        <v>11</v>
      </c>
      <c r="G54" s="54">
        <v>40099</v>
      </c>
      <c r="H54" s="53"/>
      <c r="I54" s="53">
        <v>860</v>
      </c>
      <c r="J54" s="39" t="s">
        <v>33</v>
      </c>
      <c r="K54" s="39" t="s">
        <v>965</v>
      </c>
      <c r="L54" s="39"/>
      <c r="M54" s="39"/>
      <c r="N54" s="39"/>
      <c r="O54" s="40"/>
    </row>
    <row r="55" spans="1:15" x14ac:dyDescent="0.55000000000000004">
      <c r="A55" s="24" t="str">
        <f>IF(COUNTIF(B55:$B$5014,B55)&gt;1,IF(COUNTIF($B$5:B55,B55)&gt;1,"",B55&amp;"-I"),B55)</f>
        <v/>
      </c>
      <c r="B55" s="29">
        <f t="shared" si="0"/>
        <v>898</v>
      </c>
      <c r="C55" s="36" t="s">
        <v>72</v>
      </c>
      <c r="D55" s="53">
        <v>97</v>
      </c>
      <c r="E55" s="53"/>
      <c r="F55" s="53" t="s">
        <v>11</v>
      </c>
      <c r="G55" s="54">
        <v>40123</v>
      </c>
      <c r="H55" s="53"/>
      <c r="I55" s="53">
        <v>898</v>
      </c>
      <c r="J55" s="39" t="s">
        <v>33</v>
      </c>
      <c r="K55" s="39" t="s">
        <v>965</v>
      </c>
      <c r="L55" s="39"/>
      <c r="M55" s="39"/>
      <c r="N55" s="39"/>
      <c r="O55" s="40"/>
    </row>
    <row r="56" spans="1:15" x14ac:dyDescent="0.55000000000000004">
      <c r="A56" s="24" t="str">
        <f>IF(COUNTIF(B56:$B$5014,B56)&gt;1,IF(COUNTIF($B$5:B56,B56)&gt;1,"",B56&amp;"-I"),B56)</f>
        <v>954-I</v>
      </c>
      <c r="B56" s="29">
        <f t="shared" si="0"/>
        <v>954</v>
      </c>
      <c r="C56" s="36" t="s">
        <v>73</v>
      </c>
      <c r="D56" s="53">
        <v>99</v>
      </c>
      <c r="E56" s="53"/>
      <c r="F56" s="53" t="s">
        <v>11</v>
      </c>
      <c r="G56" s="54">
        <v>40127</v>
      </c>
      <c r="H56" s="53"/>
      <c r="I56" s="53">
        <v>954</v>
      </c>
      <c r="J56" s="39" t="s">
        <v>33</v>
      </c>
      <c r="K56" s="39" t="s">
        <v>965</v>
      </c>
      <c r="L56" s="39"/>
      <c r="M56" s="39"/>
      <c r="N56" s="39"/>
      <c r="O56" s="40"/>
    </row>
    <row r="57" spans="1:15" x14ac:dyDescent="0.55000000000000004">
      <c r="A57" s="24" t="str">
        <f>IF(COUNTIF(B57:$B$5014,B57)&gt;1,IF(COUNTIF($B$5:B57,B57)&gt;1,"",B57&amp;"-I"),B57)</f>
        <v/>
      </c>
      <c r="B57" s="29">
        <f t="shared" si="0"/>
        <v>854</v>
      </c>
      <c r="C57" s="36" t="s">
        <v>74</v>
      </c>
      <c r="D57" s="53">
        <v>100</v>
      </c>
      <c r="E57" s="53"/>
      <c r="F57" s="53" t="s">
        <v>11</v>
      </c>
      <c r="G57" s="54">
        <v>40130</v>
      </c>
      <c r="H57" s="53"/>
      <c r="I57" s="53">
        <v>854</v>
      </c>
      <c r="J57" s="39" t="s">
        <v>33</v>
      </c>
      <c r="K57" s="39" t="s">
        <v>965</v>
      </c>
      <c r="L57" s="39"/>
      <c r="M57" s="39"/>
      <c r="N57" s="39"/>
      <c r="O57" s="40"/>
    </row>
    <row r="58" spans="1:15" x14ac:dyDescent="0.55000000000000004">
      <c r="A58" s="24" t="str">
        <f>IF(COUNTIF(B58:$B$5014,B58)&gt;1,IF(COUNTIF($B$5:B58,B58)&gt;1,"",B58&amp;"-I"),B58)</f>
        <v/>
      </c>
      <c r="B58" s="29">
        <f t="shared" si="0"/>
        <v>881</v>
      </c>
      <c r="C58" s="36" t="s">
        <v>75</v>
      </c>
      <c r="D58" s="53">
        <v>101</v>
      </c>
      <c r="E58" s="53"/>
      <c r="F58" s="53" t="s">
        <v>11</v>
      </c>
      <c r="G58" s="54">
        <v>40130</v>
      </c>
      <c r="H58" s="53"/>
      <c r="I58" s="53">
        <v>881</v>
      </c>
      <c r="J58" s="39" t="s">
        <v>33</v>
      </c>
      <c r="K58" s="39" t="s">
        <v>965</v>
      </c>
      <c r="L58" s="39"/>
      <c r="M58" s="39"/>
      <c r="N58" s="39"/>
      <c r="O58" s="40"/>
    </row>
    <row r="59" spans="1:15" x14ac:dyDescent="0.55000000000000004">
      <c r="A59" s="24" t="str">
        <f>IF(COUNTIF(B59:$B$5014,B59)&gt;1,IF(COUNTIF($B$5:B59,B59)&gt;1,"",B59&amp;"-I"),B59)</f>
        <v/>
      </c>
      <c r="B59" s="29">
        <f t="shared" si="0"/>
        <v>886</v>
      </c>
      <c r="C59" s="36" t="s">
        <v>76</v>
      </c>
      <c r="D59" s="53">
        <v>103</v>
      </c>
      <c r="E59" s="53"/>
      <c r="F59" s="53" t="s">
        <v>11</v>
      </c>
      <c r="G59" s="54">
        <v>40137</v>
      </c>
      <c r="H59" s="53"/>
      <c r="I59" s="53">
        <v>886</v>
      </c>
      <c r="J59" s="39" t="s">
        <v>33</v>
      </c>
      <c r="K59" s="39" t="s">
        <v>965</v>
      </c>
      <c r="L59" s="39"/>
      <c r="M59" s="39"/>
      <c r="N59" s="39"/>
      <c r="O59" s="40"/>
    </row>
    <row r="60" spans="1:15" x14ac:dyDescent="0.55000000000000004">
      <c r="A60" s="24" t="str">
        <f>IF(COUNTIF(B60:$B$5014,B60)&gt;1,IF(COUNTIF($B$5:B60,B60)&gt;1,"",B60&amp;"-I"),B60)</f>
        <v/>
      </c>
      <c r="B60" s="29">
        <f t="shared" si="0"/>
        <v>889</v>
      </c>
      <c r="C60" s="36" t="s">
        <v>77</v>
      </c>
      <c r="D60" s="53">
        <v>105</v>
      </c>
      <c r="E60" s="53"/>
      <c r="F60" s="53" t="s">
        <v>11</v>
      </c>
      <c r="G60" s="54">
        <v>40145</v>
      </c>
      <c r="H60" s="53"/>
      <c r="I60" s="53">
        <v>889</v>
      </c>
      <c r="J60" s="39" t="s">
        <v>33</v>
      </c>
      <c r="K60" s="39" t="s">
        <v>965</v>
      </c>
      <c r="L60" s="39"/>
      <c r="M60" s="39"/>
      <c r="N60" s="39"/>
      <c r="O60" s="40"/>
    </row>
    <row r="61" spans="1:15" x14ac:dyDescent="0.55000000000000004">
      <c r="A61" s="24" t="str">
        <f>IF(COUNTIF(B61:$B$5014,B61)&gt;1,IF(COUNTIF($B$5:B61,B61)&gt;1,"",B61&amp;"-I"),B61)</f>
        <v/>
      </c>
      <c r="B61" s="29">
        <f t="shared" si="0"/>
        <v>872</v>
      </c>
      <c r="C61" s="36" t="s">
        <v>78</v>
      </c>
      <c r="D61" s="53">
        <v>106</v>
      </c>
      <c r="E61" s="53"/>
      <c r="F61" s="53" t="s">
        <v>11</v>
      </c>
      <c r="G61" s="54">
        <v>40170</v>
      </c>
      <c r="H61" s="53"/>
      <c r="I61" s="53">
        <v>872</v>
      </c>
      <c r="J61" s="39" t="s">
        <v>33</v>
      </c>
      <c r="K61" s="39" t="s">
        <v>965</v>
      </c>
      <c r="L61" s="39"/>
      <c r="M61" s="39"/>
      <c r="N61" s="39"/>
      <c r="O61" s="40"/>
    </row>
    <row r="62" spans="1:15" x14ac:dyDescent="0.55000000000000004">
      <c r="A62" s="24" t="str">
        <f>IF(COUNTIF(B62:$B$5014,B62)&gt;1,IF(COUNTIF($B$5:B62,B62)&gt;1,"",B62&amp;"-I"),B62)</f>
        <v/>
      </c>
      <c r="B62" s="29">
        <f t="shared" si="0"/>
        <v>863</v>
      </c>
      <c r="C62" s="36" t="s">
        <v>79</v>
      </c>
      <c r="D62" s="53">
        <v>107</v>
      </c>
      <c r="E62" s="53"/>
      <c r="F62" s="53" t="s">
        <v>12</v>
      </c>
      <c r="G62" s="54">
        <v>40171</v>
      </c>
      <c r="H62" s="53"/>
      <c r="I62" s="53">
        <v>863</v>
      </c>
      <c r="J62" s="39" t="s">
        <v>33</v>
      </c>
      <c r="K62" s="39" t="s">
        <v>965</v>
      </c>
      <c r="L62" s="39"/>
      <c r="M62" s="39"/>
      <c r="N62" s="39"/>
      <c r="O62" s="40"/>
    </row>
    <row r="63" spans="1:15" x14ac:dyDescent="0.55000000000000004">
      <c r="A63" s="24" t="str">
        <f>IF(COUNTIF(B63:$B$5014,B63)&gt;1,IF(COUNTIF($B$5:B63,B63)&gt;1,"",B63&amp;"-I"),B63)</f>
        <v/>
      </c>
      <c r="B63" s="29">
        <f t="shared" si="0"/>
        <v>859</v>
      </c>
      <c r="C63" s="36" t="s">
        <v>80</v>
      </c>
      <c r="D63" s="53">
        <v>108</v>
      </c>
      <c r="E63" s="53"/>
      <c r="F63" s="53" t="s">
        <v>11</v>
      </c>
      <c r="G63" s="54">
        <v>40177</v>
      </c>
      <c r="H63" s="53"/>
      <c r="I63" s="53">
        <v>859</v>
      </c>
      <c r="J63" s="39" t="s">
        <v>33</v>
      </c>
      <c r="K63" s="39" t="s">
        <v>965</v>
      </c>
      <c r="L63" s="39"/>
      <c r="M63" s="39"/>
      <c r="N63" s="39"/>
      <c r="O63" s="40"/>
    </row>
    <row r="64" spans="1:15" x14ac:dyDescent="0.55000000000000004">
      <c r="A64" s="24" t="str">
        <f>IF(COUNTIF(B64:$B$5014,B64)&gt;1,IF(COUNTIF($B$5:B64,B64)&gt;1,"",B64&amp;"-I"),B64)</f>
        <v>936-I</v>
      </c>
      <c r="B64" s="29">
        <f t="shared" si="0"/>
        <v>936</v>
      </c>
      <c r="C64" s="85" t="s">
        <v>81</v>
      </c>
      <c r="D64" s="72" t="s">
        <v>13</v>
      </c>
      <c r="E64" s="53"/>
      <c r="F64" s="72" t="s">
        <v>12</v>
      </c>
      <c r="G64" s="86">
        <v>40056</v>
      </c>
      <c r="H64" s="53"/>
      <c r="I64" s="72">
        <v>936</v>
      </c>
      <c r="J64" s="47" t="s">
        <v>33</v>
      </c>
      <c r="K64" s="47" t="s">
        <v>1157</v>
      </c>
      <c r="L64" s="47" t="s">
        <v>865</v>
      </c>
      <c r="M64" s="47" t="s">
        <v>864</v>
      </c>
      <c r="N64" s="47" t="s">
        <v>864</v>
      </c>
      <c r="O64" s="50" t="s">
        <v>864</v>
      </c>
    </row>
    <row r="65" spans="1:15" x14ac:dyDescent="0.55000000000000004">
      <c r="A65" s="24" t="str">
        <f>IF(COUNTIF(B65:$B$5014,B65)&gt;1,IF(COUNTIF($B$5:B65,B65)&gt;1,"",B65&amp;"-I"),B65)</f>
        <v/>
      </c>
      <c r="B65" s="29">
        <f t="shared" si="0"/>
        <v>926</v>
      </c>
      <c r="C65" s="36" t="s">
        <v>82</v>
      </c>
      <c r="D65" s="53" t="s">
        <v>13</v>
      </c>
      <c r="E65" s="53"/>
      <c r="F65" s="53" t="s">
        <v>12</v>
      </c>
      <c r="G65" s="54">
        <v>40289</v>
      </c>
      <c r="H65" s="53"/>
      <c r="I65" s="53">
        <v>926</v>
      </c>
      <c r="J65" s="39" t="s">
        <v>33</v>
      </c>
      <c r="K65" s="39" t="s">
        <v>965</v>
      </c>
      <c r="L65" s="39"/>
      <c r="M65" s="39"/>
      <c r="N65" s="39"/>
      <c r="O65" s="40"/>
    </row>
    <row r="66" spans="1:15" x14ac:dyDescent="0.55000000000000004">
      <c r="A66" s="24" t="str">
        <f>IF(COUNTIF(B66:$B$5014,B66)&gt;1,IF(COUNTIF($B$5:B66,B66)&gt;1,"",B66&amp;"-I"),B66)</f>
        <v/>
      </c>
      <c r="B66" s="29">
        <f t="shared" si="0"/>
        <v>870</v>
      </c>
      <c r="C66" s="36" t="s">
        <v>83</v>
      </c>
      <c r="D66" s="53">
        <v>75</v>
      </c>
      <c r="E66" s="53"/>
      <c r="F66" s="53" t="s">
        <v>12</v>
      </c>
      <c r="G66" s="54">
        <v>40315</v>
      </c>
      <c r="H66" s="53"/>
      <c r="I66" s="53">
        <v>870</v>
      </c>
      <c r="J66" s="39" t="s">
        <v>33</v>
      </c>
      <c r="K66" s="39" t="s">
        <v>965</v>
      </c>
      <c r="L66" s="39"/>
      <c r="M66" s="39"/>
      <c r="N66" s="39"/>
      <c r="O66" s="40"/>
    </row>
    <row r="67" spans="1:15" x14ac:dyDescent="0.55000000000000004">
      <c r="A67" s="24" t="str">
        <f>IF(COUNTIF(B67:$B$5014,B67)&gt;1,IF(COUNTIF($B$5:B67,B67)&gt;1,"",B67&amp;"-I"),B67)</f>
        <v/>
      </c>
      <c r="B67" s="29">
        <f t="shared" si="0"/>
        <v>862</v>
      </c>
      <c r="C67" s="36" t="s">
        <v>84</v>
      </c>
      <c r="D67" s="53">
        <v>75</v>
      </c>
      <c r="E67" s="53"/>
      <c r="F67" s="53" t="s">
        <v>11</v>
      </c>
      <c r="G67" s="54">
        <v>40330</v>
      </c>
      <c r="H67" s="53"/>
      <c r="I67" s="53">
        <v>862</v>
      </c>
      <c r="J67" s="39" t="s">
        <v>33</v>
      </c>
      <c r="K67" s="39" t="s">
        <v>965</v>
      </c>
      <c r="L67" s="39"/>
      <c r="M67" s="39"/>
      <c r="N67" s="39"/>
      <c r="O67" s="40"/>
    </row>
    <row r="68" spans="1:15" x14ac:dyDescent="0.55000000000000004">
      <c r="A68" s="24" t="str">
        <f>IF(COUNTIF(B68:$B$5014,B68)&gt;1,IF(COUNTIF($B$5:B68,B68)&gt;1,"",B68&amp;"-I"),B68)</f>
        <v/>
      </c>
      <c r="B68" s="29">
        <f t="shared" si="0"/>
        <v>882</v>
      </c>
      <c r="C68" s="36" t="s">
        <v>85</v>
      </c>
      <c r="D68" s="53">
        <v>82</v>
      </c>
      <c r="E68" s="53"/>
      <c r="F68" s="53" t="s">
        <v>11</v>
      </c>
      <c r="G68" s="54">
        <v>40368</v>
      </c>
      <c r="H68" s="53"/>
      <c r="I68" s="53">
        <v>882</v>
      </c>
      <c r="J68" s="39" t="s">
        <v>33</v>
      </c>
      <c r="K68" s="39" t="s">
        <v>965</v>
      </c>
      <c r="L68" s="39"/>
      <c r="M68" s="39"/>
      <c r="N68" s="39"/>
      <c r="O68" s="40"/>
    </row>
    <row r="69" spans="1:15" x14ac:dyDescent="0.55000000000000004">
      <c r="A69" s="24" t="str">
        <f>IF(COUNTIF(B69:$B$5014,B69)&gt;1,IF(COUNTIF($B$5:B69,B69)&gt;1,"",B69&amp;"-I"),B69)</f>
        <v/>
      </c>
      <c r="B69" s="29">
        <f t="shared" ref="B69:B132" si="1">+I69</f>
        <v>936</v>
      </c>
      <c r="C69" s="36" t="s">
        <v>86</v>
      </c>
      <c r="D69" s="53">
        <v>85</v>
      </c>
      <c r="E69" s="53"/>
      <c r="F69" s="53" t="s">
        <v>11</v>
      </c>
      <c r="G69" s="54">
        <v>40383</v>
      </c>
      <c r="H69" s="53"/>
      <c r="I69" s="53">
        <v>936</v>
      </c>
      <c r="J69" s="39" t="s">
        <v>33</v>
      </c>
      <c r="K69" s="39" t="s">
        <v>965</v>
      </c>
      <c r="L69" s="39"/>
      <c r="M69" s="39"/>
      <c r="N69" s="39"/>
      <c r="O69" s="40"/>
    </row>
    <row r="70" spans="1:15" x14ac:dyDescent="0.55000000000000004">
      <c r="A70" s="24" t="str">
        <f>IF(COUNTIF(B70:$B$5014,B70)&gt;1,IF(COUNTIF($B$5:B70,B70)&gt;1,"",B70&amp;"-I"),B70)</f>
        <v/>
      </c>
      <c r="B70" s="29">
        <f t="shared" si="1"/>
        <v>896</v>
      </c>
      <c r="C70" s="36" t="s">
        <v>87</v>
      </c>
      <c r="D70" s="53">
        <v>86</v>
      </c>
      <c r="E70" s="53"/>
      <c r="F70" s="53" t="s">
        <v>11</v>
      </c>
      <c r="G70" s="54">
        <v>40394</v>
      </c>
      <c r="H70" s="53"/>
      <c r="I70" s="53">
        <v>896</v>
      </c>
      <c r="J70" s="39" t="s">
        <v>33</v>
      </c>
      <c r="K70" s="39" t="s">
        <v>965</v>
      </c>
      <c r="L70" s="39"/>
      <c r="M70" s="39"/>
      <c r="N70" s="39"/>
      <c r="O70" s="40"/>
    </row>
    <row r="71" spans="1:15" x14ac:dyDescent="0.55000000000000004">
      <c r="A71" s="24" t="str">
        <f>IF(COUNTIF(B71:$B$5014,B71)&gt;1,IF(COUNTIF($B$5:B71,B71)&gt;1,"",B71&amp;"-I"),B71)</f>
        <v/>
      </c>
      <c r="B71" s="29">
        <f t="shared" si="1"/>
        <v>876</v>
      </c>
      <c r="C71" s="36" t="s">
        <v>88</v>
      </c>
      <c r="D71" s="53">
        <v>89</v>
      </c>
      <c r="E71" s="53"/>
      <c r="F71" s="53" t="s">
        <v>11</v>
      </c>
      <c r="G71" s="54">
        <v>40343</v>
      </c>
      <c r="H71" s="53"/>
      <c r="I71" s="53">
        <v>876</v>
      </c>
      <c r="J71" s="39" t="s">
        <v>33</v>
      </c>
      <c r="K71" s="39" t="s">
        <v>965</v>
      </c>
      <c r="L71" s="39"/>
      <c r="M71" s="39"/>
      <c r="N71" s="39"/>
      <c r="O71" s="40"/>
    </row>
    <row r="72" spans="1:15" x14ac:dyDescent="0.55000000000000004">
      <c r="A72" s="24" t="str">
        <f>IF(COUNTIF(B72:$B$5014,B72)&gt;1,IF(COUNTIF($B$5:B72,B72)&gt;1,"",B72&amp;"-I"),B72)</f>
        <v/>
      </c>
      <c r="B72" s="29">
        <f t="shared" si="1"/>
        <v>867</v>
      </c>
      <c r="C72" s="36" t="s">
        <v>89</v>
      </c>
      <c r="D72" s="53">
        <v>91</v>
      </c>
      <c r="E72" s="53"/>
      <c r="F72" s="53" t="s">
        <v>11</v>
      </c>
      <c r="G72" s="54">
        <v>40338</v>
      </c>
      <c r="H72" s="53"/>
      <c r="I72" s="53">
        <v>867</v>
      </c>
      <c r="J72" s="39" t="s">
        <v>33</v>
      </c>
      <c r="K72" s="39" t="s">
        <v>965</v>
      </c>
      <c r="L72" s="39"/>
      <c r="M72" s="39"/>
      <c r="N72" s="39"/>
      <c r="O72" s="40"/>
    </row>
    <row r="73" spans="1:15" x14ac:dyDescent="0.55000000000000004">
      <c r="A73" s="24" t="str">
        <f>IF(COUNTIF(B73:$B$5014,B73)&gt;1,IF(COUNTIF($B$5:B73,B73)&gt;1,"",B73&amp;"-I"),B73)</f>
        <v/>
      </c>
      <c r="B73" s="29">
        <f t="shared" si="1"/>
        <v>874</v>
      </c>
      <c r="C73" s="36" t="s">
        <v>90</v>
      </c>
      <c r="D73" s="53">
        <v>97</v>
      </c>
      <c r="E73" s="53"/>
      <c r="F73" s="53" t="s">
        <v>11</v>
      </c>
      <c r="G73" s="54">
        <v>40400</v>
      </c>
      <c r="H73" s="53"/>
      <c r="I73" s="53">
        <v>874</v>
      </c>
      <c r="J73" s="39" t="s">
        <v>33</v>
      </c>
      <c r="K73" s="39" t="s">
        <v>965</v>
      </c>
      <c r="L73" s="39"/>
      <c r="M73" s="39"/>
      <c r="N73" s="39"/>
      <c r="O73" s="40"/>
    </row>
    <row r="74" spans="1:15" x14ac:dyDescent="0.55000000000000004">
      <c r="A74" s="24" t="str">
        <f>IF(COUNTIF(B74:$B$5014,B74)&gt;1,IF(COUNTIF($B$5:B74,B74)&gt;1,"",B74&amp;"-I"),B74)</f>
        <v/>
      </c>
      <c r="B74" s="29">
        <f t="shared" si="1"/>
        <v>871</v>
      </c>
      <c r="C74" s="36" t="s">
        <v>91</v>
      </c>
      <c r="D74" s="53">
        <v>99</v>
      </c>
      <c r="E74" s="53"/>
      <c r="F74" s="53" t="s">
        <v>11</v>
      </c>
      <c r="G74" s="54">
        <v>40345</v>
      </c>
      <c r="H74" s="53"/>
      <c r="I74" s="53">
        <v>871</v>
      </c>
      <c r="J74" s="39" t="s">
        <v>33</v>
      </c>
      <c r="K74" s="39" t="s">
        <v>965</v>
      </c>
      <c r="L74" s="39"/>
      <c r="M74" s="39"/>
      <c r="N74" s="39"/>
      <c r="O74" s="40"/>
    </row>
    <row r="75" spans="1:15" x14ac:dyDescent="0.55000000000000004">
      <c r="A75" s="24" t="str">
        <f>IF(COUNTIF(B75:$B$5014,B75)&gt;1,IF(COUNTIF($B$5:B75,B75)&gt;1,"",B75&amp;"-I"),B75)</f>
        <v/>
      </c>
      <c r="B75" s="29">
        <f t="shared" si="1"/>
        <v>900</v>
      </c>
      <c r="C75" s="36" t="s">
        <v>92</v>
      </c>
      <c r="D75" s="53">
        <v>100</v>
      </c>
      <c r="E75" s="53"/>
      <c r="F75" s="53" t="s">
        <v>11</v>
      </c>
      <c r="G75" s="54">
        <v>40426</v>
      </c>
      <c r="H75" s="53"/>
      <c r="I75" s="53">
        <v>900</v>
      </c>
      <c r="J75" s="39" t="s">
        <v>33</v>
      </c>
      <c r="K75" s="39" t="s">
        <v>965</v>
      </c>
      <c r="L75" s="39"/>
      <c r="M75" s="39"/>
      <c r="N75" s="39"/>
      <c r="O75" s="40"/>
    </row>
    <row r="76" spans="1:15" x14ac:dyDescent="0.55000000000000004">
      <c r="A76" s="24" t="str">
        <f>IF(COUNTIF(B76:$B$5014,B76)&gt;1,IF(COUNTIF($B$5:B76,B76)&gt;1,"",B76&amp;"-I"),B76)</f>
        <v/>
      </c>
      <c r="B76" s="29">
        <f t="shared" si="1"/>
        <v>873</v>
      </c>
      <c r="C76" s="36" t="s">
        <v>93</v>
      </c>
      <c r="D76" s="53">
        <v>113</v>
      </c>
      <c r="E76" s="53"/>
      <c r="F76" s="53" t="s">
        <v>11</v>
      </c>
      <c r="G76" s="54">
        <v>40274</v>
      </c>
      <c r="H76" s="53"/>
      <c r="I76" s="53">
        <v>873</v>
      </c>
      <c r="J76" s="39" t="s">
        <v>33</v>
      </c>
      <c r="K76" s="39" t="s">
        <v>965</v>
      </c>
      <c r="L76" s="39"/>
      <c r="M76" s="39"/>
      <c r="N76" s="39"/>
      <c r="O76" s="40"/>
    </row>
    <row r="77" spans="1:15" x14ac:dyDescent="0.55000000000000004">
      <c r="A77" s="24" t="str">
        <f>IF(COUNTIF(B77:$B$5014,B77)&gt;1,IF(COUNTIF($B$5:B77,B77)&gt;1,"",B77&amp;"-I"),B77)</f>
        <v/>
      </c>
      <c r="B77" s="29">
        <f t="shared" si="1"/>
        <v>877</v>
      </c>
      <c r="C77" s="36" t="s">
        <v>94</v>
      </c>
      <c r="D77" s="53">
        <v>115</v>
      </c>
      <c r="E77" s="53"/>
      <c r="F77" s="53" t="s">
        <v>11</v>
      </c>
      <c r="G77" s="54">
        <v>40445</v>
      </c>
      <c r="H77" s="53"/>
      <c r="I77" s="53">
        <v>877</v>
      </c>
      <c r="J77" s="39" t="s">
        <v>33</v>
      </c>
      <c r="K77" s="39" t="s">
        <v>965</v>
      </c>
      <c r="L77" s="39"/>
      <c r="M77" s="39"/>
      <c r="N77" s="39"/>
      <c r="O77" s="40"/>
    </row>
    <row r="78" spans="1:15" x14ac:dyDescent="0.55000000000000004">
      <c r="A78" s="24" t="str">
        <f>IF(COUNTIF(B78:$B$5014,B78)&gt;1,IF(COUNTIF($B$5:B78,B78)&gt;1,"",B78&amp;"-I"),B78)</f>
        <v/>
      </c>
      <c r="B78" s="29">
        <f t="shared" si="1"/>
        <v>885</v>
      </c>
      <c r="C78" s="36" t="s">
        <v>95</v>
      </c>
      <c r="D78" s="53">
        <v>118</v>
      </c>
      <c r="E78" s="53"/>
      <c r="F78" s="53" t="s">
        <v>11</v>
      </c>
      <c r="G78" s="54">
        <v>40298</v>
      </c>
      <c r="H78" s="53"/>
      <c r="I78" s="53">
        <v>885</v>
      </c>
      <c r="J78" s="39" t="s">
        <v>33</v>
      </c>
      <c r="K78" s="39" t="s">
        <v>965</v>
      </c>
      <c r="L78" s="39"/>
      <c r="M78" s="39"/>
      <c r="N78" s="39"/>
      <c r="O78" s="40"/>
    </row>
    <row r="79" spans="1:15" x14ac:dyDescent="0.55000000000000004">
      <c r="A79" s="24" t="str">
        <f>IF(COUNTIF(B79:$B$5014,B79)&gt;1,IF(COUNTIF($B$5:B79,B79)&gt;1,"",B79&amp;"-I"),B79)</f>
        <v/>
      </c>
      <c r="B79" s="29">
        <f t="shared" si="1"/>
        <v>880</v>
      </c>
      <c r="C79" s="36" t="s">
        <v>96</v>
      </c>
      <c r="D79" s="53">
        <v>119</v>
      </c>
      <c r="E79" s="53"/>
      <c r="F79" s="53" t="s">
        <v>12</v>
      </c>
      <c r="G79" s="54">
        <v>40303</v>
      </c>
      <c r="H79" s="53"/>
      <c r="I79" s="53">
        <v>880</v>
      </c>
      <c r="J79" s="39" t="s">
        <v>33</v>
      </c>
      <c r="K79" s="39" t="s">
        <v>965</v>
      </c>
      <c r="L79" s="39"/>
      <c r="M79" s="39"/>
      <c r="N79" s="39"/>
      <c r="O79" s="40"/>
    </row>
    <row r="80" spans="1:15" x14ac:dyDescent="0.55000000000000004">
      <c r="A80" s="24" t="str">
        <f>IF(COUNTIF(B80:$B$5014,B80)&gt;1,IF(COUNTIF($B$5:B80,B80)&gt;1,"",B80&amp;"-I"),B80)</f>
        <v/>
      </c>
      <c r="B80" s="29">
        <f t="shared" si="1"/>
        <v>943</v>
      </c>
      <c r="C80" s="36" t="s">
        <v>97</v>
      </c>
      <c r="D80" s="53">
        <v>149</v>
      </c>
      <c r="E80" s="53"/>
      <c r="F80" s="53" t="s">
        <v>12</v>
      </c>
      <c r="G80" s="54">
        <v>40459</v>
      </c>
      <c r="H80" s="53"/>
      <c r="I80" s="53">
        <v>943</v>
      </c>
      <c r="J80" s="39" t="s">
        <v>33</v>
      </c>
      <c r="K80" s="39" t="s">
        <v>965</v>
      </c>
      <c r="L80" s="39"/>
      <c r="M80" s="39"/>
      <c r="N80" s="39"/>
      <c r="O80" s="40"/>
    </row>
    <row r="81" spans="1:15" x14ac:dyDescent="0.55000000000000004">
      <c r="A81" s="24" t="str">
        <f>IF(COUNTIF(B81:$B$5014,B81)&gt;1,IF(COUNTIF($B$5:B81,B81)&gt;1,"",B81&amp;"-I"),B81)</f>
        <v/>
      </c>
      <c r="B81" s="29">
        <f t="shared" si="1"/>
        <v>946</v>
      </c>
      <c r="C81" s="36" t="s">
        <v>98</v>
      </c>
      <c r="D81" s="53">
        <v>151</v>
      </c>
      <c r="E81" s="53"/>
      <c r="F81" s="53" t="s">
        <v>12</v>
      </c>
      <c r="G81" s="54">
        <v>40462</v>
      </c>
      <c r="H81" s="53"/>
      <c r="I81" s="53">
        <v>946</v>
      </c>
      <c r="J81" s="39" t="s">
        <v>33</v>
      </c>
      <c r="K81" s="39" t="s">
        <v>965</v>
      </c>
      <c r="L81" s="39"/>
      <c r="M81" s="39"/>
      <c r="N81" s="39"/>
      <c r="O81" s="40"/>
    </row>
    <row r="82" spans="1:15" x14ac:dyDescent="0.55000000000000004">
      <c r="A82" s="24" t="str">
        <f>IF(COUNTIF(B82:$B$5014,B82)&gt;1,IF(COUNTIF($B$5:B82,B82)&gt;1,"",B82&amp;"-I"),B82)</f>
        <v/>
      </c>
      <c r="B82" s="29">
        <f t="shared" si="1"/>
        <v>854</v>
      </c>
      <c r="C82" s="36" t="s">
        <v>99</v>
      </c>
      <c r="D82" s="53">
        <v>152</v>
      </c>
      <c r="E82" s="53"/>
      <c r="F82" s="53" t="s">
        <v>12</v>
      </c>
      <c r="G82" s="54">
        <v>40463</v>
      </c>
      <c r="H82" s="53"/>
      <c r="I82" s="53">
        <v>854</v>
      </c>
      <c r="J82" s="39" t="s">
        <v>33</v>
      </c>
      <c r="K82" s="39" t="s">
        <v>965</v>
      </c>
      <c r="L82" s="39"/>
      <c r="M82" s="39"/>
      <c r="N82" s="39"/>
      <c r="O82" s="40"/>
    </row>
    <row r="83" spans="1:15" x14ac:dyDescent="0.55000000000000004">
      <c r="A83" s="24" t="str">
        <f>IF(COUNTIF(B83:$B$5014,B83)&gt;1,IF(COUNTIF($B$5:B83,B83)&gt;1,"",B83&amp;"-I"),B83)</f>
        <v/>
      </c>
      <c r="B83" s="29">
        <f t="shared" si="1"/>
        <v>899</v>
      </c>
      <c r="C83" s="36" t="s">
        <v>100</v>
      </c>
      <c r="D83" s="53">
        <v>154</v>
      </c>
      <c r="E83" s="53"/>
      <c r="F83" s="53" t="s">
        <v>12</v>
      </c>
      <c r="G83" s="54">
        <v>40466</v>
      </c>
      <c r="H83" s="53"/>
      <c r="I83" s="53">
        <v>899</v>
      </c>
      <c r="J83" s="39" t="s">
        <v>33</v>
      </c>
      <c r="K83" s="39" t="s">
        <v>965</v>
      </c>
      <c r="L83" s="39"/>
      <c r="M83" s="39"/>
      <c r="N83" s="39"/>
      <c r="O83" s="40"/>
    </row>
    <row r="84" spans="1:15" x14ac:dyDescent="0.55000000000000004">
      <c r="A84" s="24" t="str">
        <f>IF(COUNTIF(B84:$B$5014,B84)&gt;1,IF(COUNTIF($B$5:B84,B84)&gt;1,"",B84&amp;"-I"),B84)</f>
        <v/>
      </c>
      <c r="B84" s="29">
        <f t="shared" si="1"/>
        <v>898</v>
      </c>
      <c r="C84" s="36" t="s">
        <v>101</v>
      </c>
      <c r="D84" s="53">
        <v>155</v>
      </c>
      <c r="E84" s="53"/>
      <c r="F84" s="53" t="s">
        <v>12</v>
      </c>
      <c r="G84" s="54">
        <v>40466</v>
      </c>
      <c r="H84" s="53"/>
      <c r="I84" s="53">
        <v>898</v>
      </c>
      <c r="J84" s="39" t="s">
        <v>33</v>
      </c>
      <c r="K84" s="39" t="s">
        <v>965</v>
      </c>
      <c r="L84" s="39"/>
      <c r="M84" s="39"/>
      <c r="N84" s="39"/>
      <c r="O84" s="40"/>
    </row>
    <row r="85" spans="1:15" x14ac:dyDescent="0.55000000000000004">
      <c r="A85" s="24" t="str">
        <f>IF(COUNTIF(B85:$B$5014,B85)&gt;1,IF(COUNTIF($B$5:B85,B85)&gt;1,"",B85&amp;"-I"),B85)</f>
        <v/>
      </c>
      <c r="B85" s="29">
        <f t="shared" si="1"/>
        <v>860</v>
      </c>
      <c r="C85" s="36" t="s">
        <v>102</v>
      </c>
      <c r="D85" s="53">
        <v>156</v>
      </c>
      <c r="E85" s="53"/>
      <c r="F85" s="53" t="s">
        <v>12</v>
      </c>
      <c r="G85" s="54">
        <v>40466</v>
      </c>
      <c r="H85" s="53"/>
      <c r="I85" s="53">
        <v>860</v>
      </c>
      <c r="J85" s="39" t="s">
        <v>33</v>
      </c>
      <c r="K85" s="39" t="s">
        <v>965</v>
      </c>
      <c r="L85" s="39"/>
      <c r="M85" s="39"/>
      <c r="N85" s="39"/>
      <c r="O85" s="40"/>
    </row>
    <row r="86" spans="1:15" x14ac:dyDescent="0.55000000000000004">
      <c r="A86" s="24" t="str">
        <f>IF(COUNTIF(B86:$B$5014,B86)&gt;1,IF(COUNTIF($B$5:B86,B86)&gt;1,"",B86&amp;"-I"),B86)</f>
        <v/>
      </c>
      <c r="B86" s="29">
        <f t="shared" si="1"/>
        <v>881</v>
      </c>
      <c r="C86" s="36" t="s">
        <v>103</v>
      </c>
      <c r="D86" s="53">
        <v>158</v>
      </c>
      <c r="E86" s="53"/>
      <c r="F86" s="53" t="s">
        <v>11</v>
      </c>
      <c r="G86" s="54">
        <v>40471</v>
      </c>
      <c r="H86" s="53"/>
      <c r="I86" s="53">
        <v>881</v>
      </c>
      <c r="J86" s="39" t="s">
        <v>33</v>
      </c>
      <c r="K86" s="39" t="s">
        <v>965</v>
      </c>
      <c r="L86" s="39"/>
      <c r="M86" s="39"/>
      <c r="N86" s="39"/>
      <c r="O86" s="40"/>
    </row>
    <row r="87" spans="1:15" x14ac:dyDescent="0.55000000000000004">
      <c r="A87" s="24" t="str">
        <f>IF(COUNTIF(B87:$B$5014,B87)&gt;1,IF(COUNTIF($B$5:B87,B87)&gt;1,"",B87&amp;"-I"),B87)</f>
        <v>956-I</v>
      </c>
      <c r="B87" s="29">
        <f t="shared" si="1"/>
        <v>956</v>
      </c>
      <c r="C87" s="36" t="s">
        <v>104</v>
      </c>
      <c r="D87" s="53">
        <v>160</v>
      </c>
      <c r="E87" s="53"/>
      <c r="F87" s="53" t="s">
        <v>11</v>
      </c>
      <c r="G87" s="54">
        <v>40477</v>
      </c>
      <c r="H87" s="53"/>
      <c r="I87" s="53">
        <v>956</v>
      </c>
      <c r="J87" s="39" t="s">
        <v>33</v>
      </c>
      <c r="K87" s="39" t="s">
        <v>965</v>
      </c>
      <c r="L87" s="39"/>
      <c r="M87" s="39"/>
      <c r="N87" s="39"/>
      <c r="O87" s="40"/>
    </row>
    <row r="88" spans="1:15" x14ac:dyDescent="0.55000000000000004">
      <c r="A88" s="24" t="str">
        <f>IF(COUNTIF(B88:$B$5014,B88)&gt;1,IF(COUNTIF($B$5:B88,B88)&gt;1,"",B88&amp;"-I"),B88)</f>
        <v/>
      </c>
      <c r="B88" s="29">
        <f t="shared" si="1"/>
        <v>945</v>
      </c>
      <c r="C88" s="36" t="s">
        <v>105</v>
      </c>
      <c r="D88" s="53">
        <v>163</v>
      </c>
      <c r="E88" s="53"/>
      <c r="F88" s="53" t="s">
        <v>11</v>
      </c>
      <c r="G88" s="54">
        <v>40491</v>
      </c>
      <c r="H88" s="53"/>
      <c r="I88" s="53">
        <v>945</v>
      </c>
      <c r="J88" s="39" t="s">
        <v>33</v>
      </c>
      <c r="K88" s="39" t="s">
        <v>965</v>
      </c>
      <c r="L88" s="39"/>
      <c r="M88" s="39"/>
      <c r="N88" s="39"/>
      <c r="O88" s="40"/>
    </row>
    <row r="89" spans="1:15" x14ac:dyDescent="0.55000000000000004">
      <c r="A89" s="24" t="str">
        <f>IF(COUNTIF(B89:$B$5014,B89)&gt;1,IF(COUNTIF($B$5:B89,B89)&gt;1,"",B89&amp;"-I"),B89)</f>
        <v/>
      </c>
      <c r="B89" s="29">
        <f t="shared" si="1"/>
        <v>886</v>
      </c>
      <c r="C89" s="36" t="s">
        <v>106</v>
      </c>
      <c r="D89" s="53">
        <v>164</v>
      </c>
      <c r="E89" s="53"/>
      <c r="F89" s="53" t="s">
        <v>12</v>
      </c>
      <c r="G89" s="54">
        <v>40495</v>
      </c>
      <c r="H89" s="53"/>
      <c r="I89" s="53">
        <v>886</v>
      </c>
      <c r="J89" s="39" t="s">
        <v>33</v>
      </c>
      <c r="K89" s="39" t="s">
        <v>965</v>
      </c>
      <c r="L89" s="39"/>
      <c r="M89" s="39"/>
      <c r="N89" s="39"/>
      <c r="O89" s="40"/>
    </row>
    <row r="90" spans="1:15" x14ac:dyDescent="0.55000000000000004">
      <c r="A90" s="24" t="str">
        <f>IF(COUNTIF(B90:$B$5014,B90)&gt;1,IF(COUNTIF($B$5:B90,B90)&gt;1,"",B90&amp;"-I"),B90)</f>
        <v/>
      </c>
      <c r="B90" s="29">
        <f t="shared" si="1"/>
        <v>942</v>
      </c>
      <c r="C90" s="36" t="s">
        <v>107</v>
      </c>
      <c r="D90" s="53">
        <v>165</v>
      </c>
      <c r="E90" s="53"/>
      <c r="F90" s="53" t="s">
        <v>12</v>
      </c>
      <c r="G90" s="54">
        <v>40497</v>
      </c>
      <c r="H90" s="53"/>
      <c r="I90" s="53">
        <v>942</v>
      </c>
      <c r="J90" s="39" t="s">
        <v>33</v>
      </c>
      <c r="K90" s="39" t="s">
        <v>965</v>
      </c>
      <c r="L90" s="39"/>
      <c r="M90" s="39"/>
      <c r="N90" s="39"/>
      <c r="O90" s="40"/>
    </row>
    <row r="91" spans="1:15" x14ac:dyDescent="0.55000000000000004">
      <c r="A91" s="24" t="str">
        <f>IF(COUNTIF(B91:$B$5014,B91)&gt;1,IF(COUNTIF($B$5:B91,B91)&gt;1,"",B91&amp;"-I"),B91)</f>
        <v/>
      </c>
      <c r="B91" s="29">
        <f t="shared" si="1"/>
        <v>933</v>
      </c>
      <c r="C91" s="36" t="s">
        <v>108</v>
      </c>
      <c r="D91" s="53">
        <v>166</v>
      </c>
      <c r="E91" s="53"/>
      <c r="F91" s="53" t="s">
        <v>12</v>
      </c>
      <c r="G91" s="54">
        <v>40522</v>
      </c>
      <c r="H91" s="53"/>
      <c r="I91" s="53">
        <v>933</v>
      </c>
      <c r="J91" s="39" t="s">
        <v>33</v>
      </c>
      <c r="K91" s="39" t="s">
        <v>965</v>
      </c>
      <c r="L91" s="39"/>
      <c r="M91" s="39"/>
      <c r="N91" s="39"/>
      <c r="O91" s="40"/>
    </row>
    <row r="92" spans="1:15" x14ac:dyDescent="0.55000000000000004">
      <c r="A92" s="24" t="str">
        <f>IF(COUNTIF(B92:$B$5014,B92)&gt;1,IF(COUNTIF($B$5:B92,B92)&gt;1,"",B92&amp;"-I"),B92)</f>
        <v/>
      </c>
      <c r="B92" s="29">
        <f t="shared" si="1"/>
        <v>951</v>
      </c>
      <c r="C92" s="36" t="s">
        <v>109</v>
      </c>
      <c r="D92" s="53">
        <v>169</v>
      </c>
      <c r="E92" s="53"/>
      <c r="F92" s="53" t="s">
        <v>11</v>
      </c>
      <c r="G92" s="54">
        <v>40502</v>
      </c>
      <c r="H92" s="53"/>
      <c r="I92" s="53">
        <v>951</v>
      </c>
      <c r="J92" s="39" t="s">
        <v>33</v>
      </c>
      <c r="K92" s="39" t="s">
        <v>965</v>
      </c>
      <c r="L92" s="39"/>
      <c r="M92" s="39"/>
      <c r="N92" s="39"/>
      <c r="O92" s="40"/>
    </row>
    <row r="93" spans="1:15" x14ac:dyDescent="0.55000000000000004">
      <c r="A93" s="24" t="str">
        <f>IF(COUNTIF(B93:$B$5014,B93)&gt;1,IF(COUNTIF($B$5:B93,B93)&gt;1,"",B93&amp;"-I"),B93)</f>
        <v/>
      </c>
      <c r="B93" s="29">
        <f t="shared" si="1"/>
        <v>949</v>
      </c>
      <c r="C93" s="36" t="s">
        <v>110</v>
      </c>
      <c r="D93" s="53">
        <v>171</v>
      </c>
      <c r="E93" s="53"/>
      <c r="F93" s="53" t="s">
        <v>12</v>
      </c>
      <c r="G93" s="54">
        <v>40516</v>
      </c>
      <c r="H93" s="53"/>
      <c r="I93" s="53">
        <v>949</v>
      </c>
      <c r="J93" s="39" t="s">
        <v>33</v>
      </c>
      <c r="K93" s="39" t="s">
        <v>965</v>
      </c>
      <c r="L93" s="39"/>
      <c r="M93" s="39"/>
      <c r="N93" s="39"/>
      <c r="O93" s="40"/>
    </row>
    <row r="94" spans="1:15" x14ac:dyDescent="0.55000000000000004">
      <c r="A94" s="24" t="str">
        <f>IF(COUNTIF(B94:$B$5014,B94)&gt;1,IF(COUNTIF($B$5:B94,B94)&gt;1,"",B94&amp;"-I"),B94)</f>
        <v/>
      </c>
      <c r="B94" s="29">
        <f t="shared" si="1"/>
        <v>950</v>
      </c>
      <c r="C94" s="36" t="s">
        <v>111</v>
      </c>
      <c r="D94" s="53">
        <v>172</v>
      </c>
      <c r="E94" s="53"/>
      <c r="F94" s="53" t="s">
        <v>11</v>
      </c>
      <c r="G94" s="54">
        <v>40516</v>
      </c>
      <c r="H94" s="53"/>
      <c r="I94" s="53">
        <v>950</v>
      </c>
      <c r="J94" s="39" t="s">
        <v>33</v>
      </c>
      <c r="K94" s="39" t="s">
        <v>965</v>
      </c>
      <c r="L94" s="39"/>
      <c r="M94" s="39"/>
      <c r="N94" s="39"/>
      <c r="O94" s="40"/>
    </row>
    <row r="95" spans="1:15" x14ac:dyDescent="0.55000000000000004">
      <c r="A95" s="24" t="str">
        <f>IF(COUNTIF(B95:$B$5014,B95)&gt;1,IF(COUNTIF($B$5:B95,B95)&gt;1,"",B95&amp;"-I"),B95)</f>
        <v/>
      </c>
      <c r="B95" s="29">
        <f t="shared" si="1"/>
        <v>933</v>
      </c>
      <c r="C95" s="36" t="s">
        <v>112</v>
      </c>
      <c r="D95" s="53">
        <v>173</v>
      </c>
      <c r="E95" s="53"/>
      <c r="F95" s="53" t="s">
        <v>12</v>
      </c>
      <c r="G95" s="54">
        <v>40522</v>
      </c>
      <c r="H95" s="53"/>
      <c r="I95" s="53">
        <v>933</v>
      </c>
      <c r="J95" s="39" t="s">
        <v>33</v>
      </c>
      <c r="K95" s="39" t="s">
        <v>965</v>
      </c>
      <c r="L95" s="39"/>
      <c r="M95" s="39"/>
      <c r="N95" s="39"/>
      <c r="O95" s="40"/>
    </row>
    <row r="96" spans="1:15" x14ac:dyDescent="0.55000000000000004">
      <c r="A96" s="24" t="str">
        <f>IF(COUNTIF(B96:$B$5014,B96)&gt;1,IF(COUNTIF($B$5:B96,B96)&gt;1,"",B96&amp;"-I"),B96)</f>
        <v/>
      </c>
      <c r="B96" s="29">
        <f t="shared" si="1"/>
        <v>944</v>
      </c>
      <c r="C96" s="36" t="s">
        <v>113</v>
      </c>
      <c r="D96" s="53">
        <v>174</v>
      </c>
      <c r="E96" s="53"/>
      <c r="F96" s="53" t="s">
        <v>11</v>
      </c>
      <c r="G96" s="54">
        <v>40522</v>
      </c>
      <c r="H96" s="53"/>
      <c r="I96" s="53">
        <v>944</v>
      </c>
      <c r="J96" s="39" t="s">
        <v>33</v>
      </c>
      <c r="K96" s="39" t="s">
        <v>965</v>
      </c>
      <c r="L96" s="39"/>
      <c r="M96" s="39"/>
      <c r="N96" s="39"/>
      <c r="O96" s="40"/>
    </row>
    <row r="97" spans="1:15" x14ac:dyDescent="0.55000000000000004">
      <c r="A97" s="24" t="str">
        <f>IF(COUNTIF(B97:$B$5014,B97)&gt;1,IF(COUNTIF($B$5:B97,B97)&gt;1,"",B97&amp;"-I"),B97)</f>
        <v/>
      </c>
      <c r="B97" s="29">
        <f t="shared" si="1"/>
        <v>954</v>
      </c>
      <c r="C97" s="36" t="s">
        <v>114</v>
      </c>
      <c r="D97" s="53">
        <v>175</v>
      </c>
      <c r="E97" s="53"/>
      <c r="F97" s="53" t="s">
        <v>12</v>
      </c>
      <c r="G97" s="54">
        <v>40524</v>
      </c>
      <c r="H97" s="53"/>
      <c r="I97" s="53">
        <v>954</v>
      </c>
      <c r="J97" s="39" t="s">
        <v>33</v>
      </c>
      <c r="K97" s="39" t="s">
        <v>965</v>
      </c>
      <c r="L97" s="39"/>
      <c r="M97" s="39"/>
      <c r="N97" s="39"/>
      <c r="O97" s="40"/>
    </row>
    <row r="98" spans="1:15" x14ac:dyDescent="0.55000000000000004">
      <c r="A98" s="24" t="str">
        <f>IF(COUNTIF(B98:$B$5014,B98)&gt;1,IF(COUNTIF($B$5:B98,B98)&gt;1,"",B98&amp;"-I"),B98)</f>
        <v/>
      </c>
      <c r="B98" s="29">
        <f t="shared" si="1"/>
        <v>890</v>
      </c>
      <c r="C98" s="36" t="s">
        <v>115</v>
      </c>
      <c r="D98" s="53">
        <v>224</v>
      </c>
      <c r="E98" s="53"/>
      <c r="F98" s="53" t="s">
        <v>12</v>
      </c>
      <c r="G98" s="54">
        <v>40321</v>
      </c>
      <c r="H98" s="53"/>
      <c r="I98" s="53">
        <v>890</v>
      </c>
      <c r="J98" s="39" t="s">
        <v>33</v>
      </c>
      <c r="K98" s="39" t="s">
        <v>965</v>
      </c>
      <c r="L98" s="39"/>
      <c r="M98" s="39"/>
      <c r="N98" s="39"/>
      <c r="O98" s="40"/>
    </row>
    <row r="99" spans="1:15" x14ac:dyDescent="0.55000000000000004">
      <c r="A99" s="24" t="str">
        <f>IF(COUNTIF(B99:$B$5014,B99)&gt;1,IF(COUNTIF($B$5:B99,B99)&gt;1,"",B99&amp;"-I"),B99)</f>
        <v/>
      </c>
      <c r="B99" s="29">
        <f t="shared" si="1"/>
        <v>897</v>
      </c>
      <c r="C99" s="36" t="s">
        <v>116</v>
      </c>
      <c r="D99" s="53">
        <v>228</v>
      </c>
      <c r="E99" s="53"/>
      <c r="F99" s="53" t="s">
        <v>12</v>
      </c>
      <c r="G99" s="54">
        <v>40263</v>
      </c>
      <c r="H99" s="53"/>
      <c r="I99" s="53">
        <v>897</v>
      </c>
      <c r="J99" s="39" t="s">
        <v>33</v>
      </c>
      <c r="K99" s="39" t="s">
        <v>965</v>
      </c>
      <c r="L99" s="39"/>
      <c r="M99" s="39"/>
      <c r="N99" s="39"/>
      <c r="O99" s="40"/>
    </row>
    <row r="100" spans="1:15" x14ac:dyDescent="0.55000000000000004">
      <c r="A100" s="24" t="str">
        <f>IF(COUNTIF(B100:$B$5014,B100)&gt;1,IF(COUNTIF($B$5:B100,B100)&gt;1,"",B100&amp;"-I"),B100)</f>
        <v/>
      </c>
      <c r="B100" s="29">
        <f t="shared" si="1"/>
        <v>894</v>
      </c>
      <c r="C100" s="36" t="s">
        <v>117</v>
      </c>
      <c r="D100" s="53">
        <v>233</v>
      </c>
      <c r="E100" s="53"/>
      <c r="F100" s="53" t="s">
        <v>12</v>
      </c>
      <c r="G100" s="54">
        <v>40337</v>
      </c>
      <c r="H100" s="53"/>
      <c r="I100" s="53">
        <v>894</v>
      </c>
      <c r="J100" s="39" t="s">
        <v>33</v>
      </c>
      <c r="K100" s="39" t="s">
        <v>965</v>
      </c>
      <c r="L100" s="39"/>
      <c r="M100" s="39"/>
      <c r="N100" s="39"/>
      <c r="O100" s="40"/>
    </row>
    <row r="101" spans="1:15" x14ac:dyDescent="0.55000000000000004">
      <c r="A101" s="24" t="str">
        <f>IF(COUNTIF(B101:$B$5014,B101)&gt;1,IF(COUNTIF($B$5:B101,B101)&gt;1,"",B101&amp;"-I"),B101)</f>
        <v/>
      </c>
      <c r="B101" s="29">
        <f t="shared" si="1"/>
        <v>865</v>
      </c>
      <c r="C101" s="36" t="s">
        <v>118</v>
      </c>
      <c r="D101" s="53">
        <v>238</v>
      </c>
      <c r="E101" s="53"/>
      <c r="F101" s="53" t="s">
        <v>12</v>
      </c>
      <c r="G101" s="54">
        <v>40361</v>
      </c>
      <c r="H101" s="53"/>
      <c r="I101" s="53">
        <v>865</v>
      </c>
      <c r="J101" s="39" t="s">
        <v>33</v>
      </c>
      <c r="K101" s="39" t="s">
        <v>965</v>
      </c>
      <c r="L101" s="39"/>
      <c r="M101" s="39"/>
      <c r="N101" s="39"/>
      <c r="O101" s="40"/>
    </row>
    <row r="102" spans="1:15" x14ac:dyDescent="0.55000000000000004">
      <c r="A102" s="24" t="str">
        <f>IF(COUNTIF(B102:$B$5014,B102)&gt;1,IF(COUNTIF($B$5:B102,B102)&gt;1,"",B102&amp;"-I"),B102)</f>
        <v/>
      </c>
      <c r="B102" s="29">
        <f t="shared" si="1"/>
        <v>884</v>
      </c>
      <c r="C102" s="36" t="s">
        <v>119</v>
      </c>
      <c r="D102" s="53">
        <v>240</v>
      </c>
      <c r="E102" s="53"/>
      <c r="F102" s="53" t="s">
        <v>12</v>
      </c>
      <c r="G102" s="54">
        <v>40299</v>
      </c>
      <c r="H102" s="53"/>
      <c r="I102" s="53">
        <v>884</v>
      </c>
      <c r="J102" s="39" t="s">
        <v>33</v>
      </c>
      <c r="K102" s="39" t="s">
        <v>965</v>
      </c>
      <c r="L102" s="39"/>
      <c r="M102" s="39"/>
      <c r="N102" s="39"/>
      <c r="O102" s="40"/>
    </row>
    <row r="103" spans="1:15" x14ac:dyDescent="0.55000000000000004">
      <c r="A103" s="24" t="str">
        <f>IF(COUNTIF(B103:$B$5014,B103)&gt;1,IF(COUNTIF($B$5:B103,B103)&gt;1,"",B103&amp;"-I"),B103)</f>
        <v/>
      </c>
      <c r="B103" s="29">
        <f t="shared" si="1"/>
        <v>869</v>
      </c>
      <c r="C103" s="36" t="s">
        <v>120</v>
      </c>
      <c r="D103" s="53">
        <v>242</v>
      </c>
      <c r="E103" s="53"/>
      <c r="F103" s="53" t="s">
        <v>12</v>
      </c>
      <c r="G103" s="54">
        <v>40386</v>
      </c>
      <c r="H103" s="53"/>
      <c r="I103" s="53">
        <v>869</v>
      </c>
      <c r="J103" s="39" t="s">
        <v>33</v>
      </c>
      <c r="K103" s="39" t="s">
        <v>965</v>
      </c>
      <c r="L103" s="39"/>
      <c r="M103" s="39"/>
      <c r="N103" s="39"/>
      <c r="O103" s="40"/>
    </row>
    <row r="104" spans="1:15" x14ac:dyDescent="0.55000000000000004">
      <c r="A104" s="24" t="str">
        <f>IF(COUNTIF(B104:$B$5014,B104)&gt;1,IF(COUNTIF($B$5:B104,B104)&gt;1,"",B104&amp;"-I"),B104)</f>
        <v/>
      </c>
      <c r="B104" s="29">
        <f t="shared" si="1"/>
        <v>875</v>
      </c>
      <c r="C104" s="36" t="s">
        <v>121</v>
      </c>
      <c r="D104" s="53" t="s">
        <v>13</v>
      </c>
      <c r="E104" s="53"/>
      <c r="F104" s="53" t="s">
        <v>11</v>
      </c>
      <c r="G104" s="54">
        <v>40335</v>
      </c>
      <c r="H104" s="53"/>
      <c r="I104" s="53">
        <v>875</v>
      </c>
      <c r="J104" s="39" t="s">
        <v>33</v>
      </c>
      <c r="K104" s="39" t="s">
        <v>965</v>
      </c>
      <c r="L104" s="39"/>
      <c r="M104" s="39"/>
      <c r="N104" s="39"/>
      <c r="O104" s="40"/>
    </row>
    <row r="105" spans="1:15" x14ac:dyDescent="0.55000000000000004">
      <c r="A105" s="24" t="str">
        <f>IF(COUNTIF(B105:$B$5014,B105)&gt;1,IF(COUNTIF($B$5:B105,B105)&gt;1,"",B105&amp;"-I"),B105)</f>
        <v/>
      </c>
      <c r="B105" s="29">
        <f t="shared" si="1"/>
        <v>858</v>
      </c>
      <c r="C105" s="85" t="s">
        <v>122</v>
      </c>
      <c r="D105" s="72" t="s">
        <v>13</v>
      </c>
      <c r="E105" s="53"/>
      <c r="F105" s="72" t="s">
        <v>11</v>
      </c>
      <c r="G105" s="86">
        <v>40389</v>
      </c>
      <c r="H105" s="53"/>
      <c r="I105" s="72">
        <v>858</v>
      </c>
      <c r="J105" s="47" t="s">
        <v>33</v>
      </c>
      <c r="K105" s="47" t="s">
        <v>1157</v>
      </c>
      <c r="L105" s="39" t="s">
        <v>850</v>
      </c>
      <c r="M105" s="47" t="s">
        <v>864</v>
      </c>
      <c r="N105" s="47" t="s">
        <v>864</v>
      </c>
      <c r="O105" s="50" t="s">
        <v>864</v>
      </c>
    </row>
    <row r="106" spans="1:15" x14ac:dyDescent="0.55000000000000004">
      <c r="A106" s="24" t="str">
        <f>IF(COUNTIF(B106:$B$5014,B106)&gt;1,IF(COUNTIF($B$5:B106,B106)&gt;1,"",B106&amp;"-I"),B106)</f>
        <v/>
      </c>
      <c r="B106" s="29">
        <f t="shared" si="1"/>
        <v>872</v>
      </c>
      <c r="C106" s="36" t="s">
        <v>123</v>
      </c>
      <c r="D106" s="53">
        <v>176</v>
      </c>
      <c r="E106" s="53"/>
      <c r="F106" s="53" t="s">
        <v>11</v>
      </c>
      <c r="G106" s="54">
        <v>40553</v>
      </c>
      <c r="H106" s="53"/>
      <c r="I106" s="53">
        <v>872</v>
      </c>
      <c r="J106" s="39" t="s">
        <v>33</v>
      </c>
      <c r="K106" s="39" t="s">
        <v>965</v>
      </c>
      <c r="L106" s="39"/>
      <c r="M106" s="39"/>
      <c r="N106" s="39"/>
      <c r="O106" s="40"/>
    </row>
    <row r="107" spans="1:15" x14ac:dyDescent="0.55000000000000004">
      <c r="A107" s="24" t="str">
        <f>IF(COUNTIF(B107:$B$5014,B107)&gt;1,IF(COUNTIF($B$5:B107,B107)&gt;1,"",B107&amp;"-I"),B107)</f>
        <v/>
      </c>
      <c r="B107" s="29">
        <f t="shared" si="1"/>
        <v>859</v>
      </c>
      <c r="C107" s="36" t="s">
        <v>124</v>
      </c>
      <c r="D107" s="53">
        <v>177</v>
      </c>
      <c r="E107" s="53"/>
      <c r="F107" s="53" t="s">
        <v>11</v>
      </c>
      <c r="G107" s="54">
        <v>40583</v>
      </c>
      <c r="H107" s="53"/>
      <c r="I107" s="53">
        <v>859</v>
      </c>
      <c r="J107" s="39" t="s">
        <v>33</v>
      </c>
      <c r="K107" s="39" t="s">
        <v>965</v>
      </c>
      <c r="L107" s="39"/>
      <c r="M107" s="39"/>
      <c r="N107" s="39"/>
      <c r="O107" s="40"/>
    </row>
    <row r="108" spans="1:15" x14ac:dyDescent="0.55000000000000004">
      <c r="A108" s="24" t="str">
        <f>IF(COUNTIF(B108:$B$5014,B108)&gt;1,IF(COUNTIF($B$5:B108,B108)&gt;1,"",B108&amp;"-I"),B108)</f>
        <v/>
      </c>
      <c r="B108" s="29">
        <f t="shared" si="1"/>
        <v>926</v>
      </c>
      <c r="C108" s="36" t="s">
        <v>125</v>
      </c>
      <c r="D108" s="53">
        <v>178</v>
      </c>
      <c r="E108" s="53"/>
      <c r="F108" s="53" t="s">
        <v>11</v>
      </c>
      <c r="G108" s="54">
        <v>40603</v>
      </c>
      <c r="H108" s="53"/>
      <c r="I108" s="53">
        <v>926</v>
      </c>
      <c r="J108" s="39" t="s">
        <v>33</v>
      </c>
      <c r="K108" s="39" t="s">
        <v>965</v>
      </c>
      <c r="L108" s="39"/>
      <c r="M108" s="39"/>
      <c r="N108" s="39"/>
      <c r="O108" s="40"/>
    </row>
    <row r="109" spans="1:15" x14ac:dyDescent="0.55000000000000004">
      <c r="A109" s="24" t="str">
        <f>IF(COUNTIF(B109:$B$5014,B109)&gt;1,IF(COUNTIF($B$5:B109,B109)&gt;1,"",B109&amp;"-I"),B109)</f>
        <v/>
      </c>
      <c r="B109" s="29">
        <f t="shared" si="1"/>
        <v>880</v>
      </c>
      <c r="C109" s="36" t="s">
        <v>126</v>
      </c>
      <c r="D109" s="53">
        <v>180</v>
      </c>
      <c r="E109" s="53"/>
      <c r="F109" s="53" t="s">
        <v>11</v>
      </c>
      <c r="G109" s="54">
        <v>40629</v>
      </c>
      <c r="H109" s="53"/>
      <c r="I109" s="53">
        <v>880</v>
      </c>
      <c r="J109" s="39" t="s">
        <v>33</v>
      </c>
      <c r="K109" s="39" t="s">
        <v>965</v>
      </c>
      <c r="L109" s="39"/>
      <c r="M109" s="39"/>
      <c r="N109" s="39"/>
      <c r="O109" s="40"/>
    </row>
    <row r="110" spans="1:15" x14ac:dyDescent="0.55000000000000004">
      <c r="A110" s="24" t="str">
        <f>IF(COUNTIF(B110:$B$5014,B110)&gt;1,IF(COUNTIF($B$5:B110,B110)&gt;1,"",B110&amp;"-I"),B110)</f>
        <v/>
      </c>
      <c r="B110" s="29">
        <f t="shared" si="1"/>
        <v>877</v>
      </c>
      <c r="C110" s="36" t="s">
        <v>127</v>
      </c>
      <c r="D110" s="53">
        <v>181</v>
      </c>
      <c r="E110" s="53"/>
      <c r="F110" s="53" t="s">
        <v>12</v>
      </c>
      <c r="G110" s="54">
        <v>40633</v>
      </c>
      <c r="H110" s="53"/>
      <c r="I110" s="53">
        <v>877</v>
      </c>
      <c r="J110" s="39" t="s">
        <v>33</v>
      </c>
      <c r="K110" s="39" t="s">
        <v>965</v>
      </c>
      <c r="L110" s="39"/>
      <c r="M110" s="39"/>
      <c r="N110" s="39"/>
      <c r="O110" s="40"/>
    </row>
    <row r="111" spans="1:15" x14ac:dyDescent="0.55000000000000004">
      <c r="A111" s="24" t="str">
        <f>IF(COUNTIF(B111:$B$5014,B111)&gt;1,IF(COUNTIF($B$5:B111,B111)&gt;1,"",B111&amp;"-I"),B111)</f>
        <v/>
      </c>
      <c r="B111" s="29">
        <f t="shared" si="1"/>
        <v>889</v>
      </c>
      <c r="C111" s="36" t="s">
        <v>128</v>
      </c>
      <c r="D111" s="53">
        <v>182</v>
      </c>
      <c r="E111" s="53"/>
      <c r="F111" s="53" t="s">
        <v>11</v>
      </c>
      <c r="G111" s="54">
        <v>40556</v>
      </c>
      <c r="H111" s="53"/>
      <c r="I111" s="53">
        <v>889</v>
      </c>
      <c r="J111" s="39" t="s">
        <v>33</v>
      </c>
      <c r="K111" s="39" t="s">
        <v>965</v>
      </c>
      <c r="L111" s="39"/>
      <c r="M111" s="39"/>
      <c r="N111" s="39"/>
      <c r="O111" s="40"/>
    </row>
    <row r="112" spans="1:15" x14ac:dyDescent="0.55000000000000004">
      <c r="A112" s="24" t="str">
        <f>IF(COUNTIF(B112:$B$5014,B112)&gt;1,IF(COUNTIF($B$5:B112,B112)&gt;1,"",B112&amp;"-I"),B112)</f>
        <v/>
      </c>
      <c r="B112" s="29">
        <f t="shared" si="1"/>
        <v>884</v>
      </c>
      <c r="C112" s="36" t="s">
        <v>129</v>
      </c>
      <c r="D112" s="53">
        <v>183</v>
      </c>
      <c r="E112" s="53"/>
      <c r="F112" s="53" t="s">
        <v>12</v>
      </c>
      <c r="G112" s="54">
        <v>40667</v>
      </c>
      <c r="H112" s="53"/>
      <c r="I112" s="53">
        <v>884</v>
      </c>
      <c r="J112" s="39" t="s">
        <v>33</v>
      </c>
      <c r="K112" s="39" t="s">
        <v>965</v>
      </c>
      <c r="L112" s="39"/>
      <c r="M112" s="39"/>
      <c r="N112" s="39"/>
      <c r="O112" s="40"/>
    </row>
    <row r="113" spans="1:15" x14ac:dyDescent="0.55000000000000004">
      <c r="A113" s="24" t="str">
        <f>IF(COUNTIF(B113:$B$5014,B113)&gt;1,IF(COUNTIF($B$5:B113,B113)&gt;1,"",B113&amp;"-I"),B113)</f>
        <v/>
      </c>
      <c r="B113" s="29">
        <f t="shared" si="1"/>
        <v>873</v>
      </c>
      <c r="C113" s="36" t="s">
        <v>130</v>
      </c>
      <c r="D113" s="53">
        <v>184</v>
      </c>
      <c r="E113" s="53"/>
      <c r="F113" s="53" t="s">
        <v>11</v>
      </c>
      <c r="G113" s="54">
        <v>40675</v>
      </c>
      <c r="H113" s="53"/>
      <c r="I113" s="53">
        <v>873</v>
      </c>
      <c r="J113" s="39" t="s">
        <v>33</v>
      </c>
      <c r="K113" s="39" t="s">
        <v>965</v>
      </c>
      <c r="L113" s="39"/>
      <c r="M113" s="39"/>
      <c r="N113" s="39"/>
      <c r="O113" s="40"/>
    </row>
    <row r="114" spans="1:15" x14ac:dyDescent="0.55000000000000004">
      <c r="A114" s="24" t="str">
        <f>IF(COUNTIF(B114:$B$5014,B114)&gt;1,IF(COUNTIF($B$5:B114,B114)&gt;1,"",B114&amp;"-I"),B114)</f>
        <v/>
      </c>
      <c r="B114" s="29">
        <f t="shared" si="1"/>
        <v>875</v>
      </c>
      <c r="C114" s="36" t="s">
        <v>131</v>
      </c>
      <c r="D114" s="53">
        <v>185</v>
      </c>
      <c r="E114" s="53"/>
      <c r="F114" s="53" t="s">
        <v>11</v>
      </c>
      <c r="G114" s="54">
        <v>40682</v>
      </c>
      <c r="H114" s="53"/>
      <c r="I114" s="53">
        <v>875</v>
      </c>
      <c r="J114" s="39" t="s">
        <v>33</v>
      </c>
      <c r="K114" s="39" t="s">
        <v>965</v>
      </c>
      <c r="L114" s="39"/>
      <c r="M114" s="39"/>
      <c r="N114" s="39"/>
      <c r="O114" s="40"/>
    </row>
    <row r="115" spans="1:15" x14ac:dyDescent="0.55000000000000004">
      <c r="A115" s="24" t="str">
        <f>IF(COUNTIF(B115:$B$5014,B115)&gt;1,IF(COUNTIF($B$5:B115,B115)&gt;1,"",B115&amp;"-I"),B115)</f>
        <v/>
      </c>
      <c r="B115" s="29">
        <f t="shared" si="1"/>
        <v>871</v>
      </c>
      <c r="C115" s="36" t="s">
        <v>132</v>
      </c>
      <c r="D115" s="53">
        <v>186</v>
      </c>
      <c r="E115" s="53"/>
      <c r="F115" s="53" t="s">
        <v>12</v>
      </c>
      <c r="G115" s="54">
        <v>40683</v>
      </c>
      <c r="H115" s="53"/>
      <c r="I115" s="53">
        <v>871</v>
      </c>
      <c r="J115" s="39" t="s">
        <v>33</v>
      </c>
      <c r="K115" s="39" t="s">
        <v>965</v>
      </c>
      <c r="L115" s="39"/>
      <c r="M115" s="39"/>
      <c r="N115" s="39"/>
      <c r="O115" s="40"/>
    </row>
    <row r="116" spans="1:15" x14ac:dyDescent="0.55000000000000004">
      <c r="A116" s="24" t="str">
        <f>IF(COUNTIF(B116:$B$5014,B116)&gt;1,IF(COUNTIF($B$5:B116,B116)&gt;1,"",B116&amp;"-I"),B116)</f>
        <v/>
      </c>
      <c r="B116" s="29">
        <f t="shared" si="1"/>
        <v>897</v>
      </c>
      <c r="C116" s="36" t="s">
        <v>133</v>
      </c>
      <c r="D116" s="53">
        <v>187</v>
      </c>
      <c r="E116" s="53"/>
      <c r="F116" s="53" t="s">
        <v>12</v>
      </c>
      <c r="G116" s="54">
        <v>40703</v>
      </c>
      <c r="H116" s="53"/>
      <c r="I116" s="53">
        <v>897</v>
      </c>
      <c r="J116" s="39" t="s">
        <v>33</v>
      </c>
      <c r="K116" s="39" t="s">
        <v>965</v>
      </c>
      <c r="L116" s="39"/>
      <c r="M116" s="39"/>
      <c r="N116" s="39"/>
      <c r="O116" s="40"/>
    </row>
    <row r="117" spans="1:15" x14ac:dyDescent="0.55000000000000004">
      <c r="A117" s="24" t="str">
        <f>IF(COUNTIF(B117:$B$5014,B117)&gt;1,IF(COUNTIF($B$5:B117,B117)&gt;1,"",B117&amp;"-I"),B117)</f>
        <v/>
      </c>
      <c r="B117" s="29">
        <f t="shared" si="1"/>
        <v>931</v>
      </c>
      <c r="C117" s="36" t="s">
        <v>134</v>
      </c>
      <c r="D117" s="53">
        <v>188</v>
      </c>
      <c r="E117" s="53"/>
      <c r="F117" s="53" t="s">
        <v>12</v>
      </c>
      <c r="G117" s="54">
        <v>40723</v>
      </c>
      <c r="H117" s="53"/>
      <c r="I117" s="53">
        <v>931</v>
      </c>
      <c r="J117" s="39" t="s">
        <v>33</v>
      </c>
      <c r="K117" s="39" t="s">
        <v>965</v>
      </c>
      <c r="L117" s="39"/>
      <c r="M117" s="39"/>
      <c r="N117" s="39"/>
      <c r="O117" s="40"/>
    </row>
    <row r="118" spans="1:15" x14ac:dyDescent="0.55000000000000004">
      <c r="A118" s="24" t="str">
        <f>IF(COUNTIF(B118:$B$5014,B118)&gt;1,IF(COUNTIF($B$5:B118,B118)&gt;1,"",B118&amp;"-I"),B118)</f>
        <v/>
      </c>
      <c r="B118" s="29">
        <f t="shared" si="1"/>
        <v>947</v>
      </c>
      <c r="C118" s="36" t="s">
        <v>135</v>
      </c>
      <c r="D118" s="53">
        <v>189</v>
      </c>
      <c r="E118" s="53"/>
      <c r="F118" s="53" t="s">
        <v>12</v>
      </c>
      <c r="G118" s="54">
        <v>40727</v>
      </c>
      <c r="H118" s="53"/>
      <c r="I118" s="53">
        <v>947</v>
      </c>
      <c r="J118" s="39" t="s">
        <v>33</v>
      </c>
      <c r="K118" s="39" t="s">
        <v>965</v>
      </c>
      <c r="L118" s="39"/>
      <c r="M118" s="39"/>
      <c r="N118" s="39"/>
      <c r="O118" s="40"/>
    </row>
    <row r="119" spans="1:15" x14ac:dyDescent="0.55000000000000004">
      <c r="A119" s="24" t="str">
        <f>IF(COUNTIF(B119:$B$5014,B119)&gt;1,IF(COUNTIF($B$5:B119,B119)&gt;1,"",B119&amp;"-I"),B119)</f>
        <v/>
      </c>
      <c r="B119" s="29">
        <f t="shared" si="1"/>
        <v>939</v>
      </c>
      <c r="C119" s="36" t="s">
        <v>136</v>
      </c>
      <c r="D119" s="53">
        <v>191</v>
      </c>
      <c r="E119" s="53"/>
      <c r="F119" s="53" t="s">
        <v>12</v>
      </c>
      <c r="G119" s="54">
        <v>40727</v>
      </c>
      <c r="H119" s="53"/>
      <c r="I119" s="53">
        <v>939</v>
      </c>
      <c r="J119" s="39" t="s">
        <v>33</v>
      </c>
      <c r="K119" s="39" t="s">
        <v>965</v>
      </c>
      <c r="L119" s="39"/>
      <c r="M119" s="39"/>
      <c r="N119" s="39"/>
      <c r="O119" s="40"/>
    </row>
    <row r="120" spans="1:15" x14ac:dyDescent="0.55000000000000004">
      <c r="A120" s="24" t="str">
        <f>IF(COUNTIF(B120:$B$5014,B120)&gt;1,IF(COUNTIF($B$5:B120,B120)&gt;1,"",B120&amp;"-I"),B120)</f>
        <v/>
      </c>
      <c r="B120" s="29">
        <f t="shared" si="1"/>
        <v>890</v>
      </c>
      <c r="C120" s="36" t="s">
        <v>137</v>
      </c>
      <c r="D120" s="53">
        <v>193</v>
      </c>
      <c r="E120" s="53"/>
      <c r="F120" s="53" t="s">
        <v>12</v>
      </c>
      <c r="G120" s="54">
        <v>40727</v>
      </c>
      <c r="H120" s="53"/>
      <c r="I120" s="53">
        <v>890</v>
      </c>
      <c r="J120" s="39" t="s">
        <v>33</v>
      </c>
      <c r="K120" s="39" t="s">
        <v>965</v>
      </c>
      <c r="L120" s="39"/>
      <c r="M120" s="39"/>
      <c r="N120" s="39"/>
      <c r="O120" s="40"/>
    </row>
    <row r="121" spans="1:15" x14ac:dyDescent="0.55000000000000004">
      <c r="A121" s="24" t="str">
        <f>IF(COUNTIF(B121:$B$5014,B121)&gt;1,IF(COUNTIF($B$5:B121,B121)&gt;1,"",B121&amp;"-I"),B121)</f>
        <v/>
      </c>
      <c r="B121" s="29">
        <f t="shared" si="1"/>
        <v>893</v>
      </c>
      <c r="C121" s="36" t="s">
        <v>138</v>
      </c>
      <c r="D121" s="53">
        <v>196</v>
      </c>
      <c r="E121" s="53"/>
      <c r="F121" s="53" t="s">
        <v>11</v>
      </c>
      <c r="G121" s="54">
        <v>40732</v>
      </c>
      <c r="H121" s="53"/>
      <c r="I121" s="53">
        <v>893</v>
      </c>
      <c r="J121" s="39" t="s">
        <v>33</v>
      </c>
      <c r="K121" s="39" t="s">
        <v>965</v>
      </c>
      <c r="L121" s="39"/>
      <c r="M121" s="39"/>
      <c r="N121" s="39"/>
      <c r="O121" s="40"/>
    </row>
    <row r="122" spans="1:15" x14ac:dyDescent="0.55000000000000004">
      <c r="A122" s="24" t="str">
        <f>IF(COUNTIF(B122:$B$5014,B122)&gt;1,IF(COUNTIF($B$5:B122,B122)&gt;1,"",B122&amp;"-I"),B122)</f>
        <v/>
      </c>
      <c r="B122" s="29">
        <f t="shared" si="1"/>
        <v>858</v>
      </c>
      <c r="C122" s="36" t="s">
        <v>139</v>
      </c>
      <c r="D122" s="53">
        <v>196</v>
      </c>
      <c r="E122" s="53"/>
      <c r="F122" s="53" t="s">
        <v>11</v>
      </c>
      <c r="G122" s="54">
        <v>40733</v>
      </c>
      <c r="H122" s="53"/>
      <c r="I122" s="53">
        <v>858</v>
      </c>
      <c r="J122" s="39" t="s">
        <v>33</v>
      </c>
      <c r="K122" s="39" t="s">
        <v>965</v>
      </c>
      <c r="L122" s="39"/>
      <c r="M122" s="39"/>
      <c r="N122" s="39"/>
      <c r="O122" s="40"/>
    </row>
    <row r="123" spans="1:15" x14ac:dyDescent="0.55000000000000004">
      <c r="A123" s="24" t="str">
        <f>IF(COUNTIF(B123:$B$5014,B123)&gt;1,IF(COUNTIF($B$5:B123,B123)&gt;1,"",B123&amp;"-I"),B123)</f>
        <v/>
      </c>
      <c r="B123" s="29">
        <f t="shared" si="1"/>
        <v>870</v>
      </c>
      <c r="C123" s="36" t="s">
        <v>140</v>
      </c>
      <c r="D123" s="53">
        <v>196</v>
      </c>
      <c r="E123" s="53"/>
      <c r="F123" s="53" t="s">
        <v>11</v>
      </c>
      <c r="G123" s="54">
        <v>40741</v>
      </c>
      <c r="H123" s="53"/>
      <c r="I123" s="53">
        <v>870</v>
      </c>
      <c r="J123" s="39" t="s">
        <v>33</v>
      </c>
      <c r="K123" s="39" t="s">
        <v>965</v>
      </c>
      <c r="L123" s="39"/>
      <c r="M123" s="39"/>
      <c r="N123" s="39"/>
      <c r="O123" s="40"/>
    </row>
    <row r="124" spans="1:15" x14ac:dyDescent="0.55000000000000004">
      <c r="A124" s="24" t="str">
        <f>IF(COUNTIF(B124:$B$5014,B124)&gt;1,IF(COUNTIF($B$5:B124,B124)&gt;1,"",B124&amp;"-I"),B124)</f>
        <v/>
      </c>
      <c r="B124" s="29">
        <f t="shared" si="1"/>
        <v>928</v>
      </c>
      <c r="C124" s="36" t="s">
        <v>141</v>
      </c>
      <c r="D124" s="53">
        <v>198</v>
      </c>
      <c r="E124" s="53"/>
      <c r="F124" s="53" t="s">
        <v>11</v>
      </c>
      <c r="G124" s="54">
        <v>40734</v>
      </c>
      <c r="H124" s="53"/>
      <c r="I124" s="53">
        <v>928</v>
      </c>
      <c r="J124" s="39" t="s">
        <v>33</v>
      </c>
      <c r="K124" s="39" t="s">
        <v>965</v>
      </c>
      <c r="L124" s="39"/>
      <c r="M124" s="39"/>
      <c r="N124" s="39"/>
      <c r="O124" s="40"/>
    </row>
    <row r="125" spans="1:15" x14ac:dyDescent="0.55000000000000004">
      <c r="A125" s="24" t="str">
        <f>IF(COUNTIF(B125:$B$5014,B125)&gt;1,IF(COUNTIF($B$5:B125,B125)&gt;1,"",B125&amp;"-I"),B125)</f>
        <v/>
      </c>
      <c r="B125" s="29">
        <f t="shared" si="1"/>
        <v>930</v>
      </c>
      <c r="C125" s="36" t="s">
        <v>142</v>
      </c>
      <c r="D125" s="53">
        <v>199</v>
      </c>
      <c r="E125" s="53"/>
      <c r="F125" s="53" t="s">
        <v>11</v>
      </c>
      <c r="G125" s="54">
        <v>40738</v>
      </c>
      <c r="H125" s="53"/>
      <c r="I125" s="53">
        <v>930</v>
      </c>
      <c r="J125" s="39" t="s">
        <v>33</v>
      </c>
      <c r="K125" s="39" t="s">
        <v>965</v>
      </c>
      <c r="L125" s="39"/>
      <c r="M125" s="39"/>
      <c r="N125" s="39"/>
      <c r="O125" s="40"/>
    </row>
    <row r="126" spans="1:15" x14ac:dyDescent="0.55000000000000004">
      <c r="A126" s="24" t="str">
        <f>IF(COUNTIF(B126:$B$5014,B126)&gt;1,IF(COUNTIF($B$5:B126,B126)&gt;1,"",B126&amp;"-I"),B126)</f>
        <v/>
      </c>
      <c r="B126" s="29">
        <f t="shared" si="1"/>
        <v>882</v>
      </c>
      <c r="C126" s="36" t="s">
        <v>143</v>
      </c>
      <c r="D126" s="53">
        <v>201</v>
      </c>
      <c r="E126" s="53"/>
      <c r="F126" s="53" t="s">
        <v>11</v>
      </c>
      <c r="G126" s="54">
        <v>40739</v>
      </c>
      <c r="H126" s="53"/>
      <c r="I126" s="53">
        <v>882</v>
      </c>
      <c r="J126" s="39" t="s">
        <v>33</v>
      </c>
      <c r="K126" s="39" t="s">
        <v>965</v>
      </c>
      <c r="L126" s="39"/>
      <c r="M126" s="39"/>
      <c r="N126" s="39"/>
      <c r="O126" s="40"/>
    </row>
    <row r="127" spans="1:15" x14ac:dyDescent="0.55000000000000004">
      <c r="A127" s="24" t="str">
        <f>IF(COUNTIF(B127:$B$5014,B127)&gt;1,IF(COUNTIF($B$5:B127,B127)&gt;1,"",B127&amp;"-I"),B127)</f>
        <v/>
      </c>
      <c r="B127" s="29">
        <f t="shared" si="1"/>
        <v>894</v>
      </c>
      <c r="C127" s="36" t="s">
        <v>144</v>
      </c>
      <c r="D127" s="53">
        <v>202</v>
      </c>
      <c r="E127" s="53"/>
      <c r="F127" s="53" t="s">
        <v>11</v>
      </c>
      <c r="G127" s="54">
        <v>40746</v>
      </c>
      <c r="H127" s="53"/>
      <c r="I127" s="53">
        <v>894</v>
      </c>
      <c r="J127" s="39" t="s">
        <v>33</v>
      </c>
      <c r="K127" s="39" t="s">
        <v>965</v>
      </c>
      <c r="L127" s="39"/>
      <c r="M127" s="39"/>
      <c r="N127" s="39"/>
      <c r="O127" s="40"/>
    </row>
    <row r="128" spans="1:15" x14ac:dyDescent="0.55000000000000004">
      <c r="A128" s="24" t="str">
        <f>IF(COUNTIF(B128:$B$5014,B128)&gt;1,IF(COUNTIF($B$5:B128,B128)&gt;1,"",B128&amp;"-I"),B128)</f>
        <v/>
      </c>
      <c r="B128" s="29">
        <f t="shared" si="1"/>
        <v>862</v>
      </c>
      <c r="C128" s="36" t="s">
        <v>145</v>
      </c>
      <c r="D128" s="53">
        <v>204</v>
      </c>
      <c r="E128" s="53"/>
      <c r="F128" s="53" t="s">
        <v>11</v>
      </c>
      <c r="G128" s="54">
        <v>40748</v>
      </c>
      <c r="H128" s="53"/>
      <c r="I128" s="53">
        <v>862</v>
      </c>
      <c r="J128" s="39" t="s">
        <v>33</v>
      </c>
      <c r="K128" s="39" t="s">
        <v>965</v>
      </c>
      <c r="L128" s="39"/>
      <c r="M128" s="39"/>
      <c r="N128" s="39"/>
      <c r="O128" s="40"/>
    </row>
    <row r="129" spans="1:15" x14ac:dyDescent="0.55000000000000004">
      <c r="A129" s="24" t="str">
        <f>IF(COUNTIF(B129:$B$5014,B129)&gt;1,IF(COUNTIF($B$5:B129,B129)&gt;1,"",B129&amp;"-I"),B129)</f>
        <v/>
      </c>
      <c r="B129" s="29">
        <f t="shared" si="1"/>
        <v>934</v>
      </c>
      <c r="C129" s="36" t="s">
        <v>146</v>
      </c>
      <c r="D129" s="53">
        <v>207</v>
      </c>
      <c r="E129" s="53"/>
      <c r="F129" s="53" t="s">
        <v>11</v>
      </c>
      <c r="G129" s="54">
        <v>40753</v>
      </c>
      <c r="H129" s="53"/>
      <c r="I129" s="53">
        <v>934</v>
      </c>
      <c r="J129" s="39" t="s">
        <v>33</v>
      </c>
      <c r="K129" s="39" t="s">
        <v>965</v>
      </c>
      <c r="L129" s="39"/>
      <c r="M129" s="39"/>
      <c r="N129" s="39"/>
      <c r="O129" s="40"/>
    </row>
    <row r="130" spans="1:15" x14ac:dyDescent="0.55000000000000004">
      <c r="A130" s="24" t="str">
        <f>IF(COUNTIF(B130:$B$5014,B130)&gt;1,IF(COUNTIF($B$5:B130,B130)&gt;1,"",B130&amp;"-I"),B130)</f>
        <v/>
      </c>
      <c r="B130" s="29">
        <f t="shared" si="1"/>
        <v>865</v>
      </c>
      <c r="C130" s="36" t="s">
        <v>147</v>
      </c>
      <c r="D130" s="53">
        <v>210</v>
      </c>
      <c r="E130" s="53"/>
      <c r="F130" s="53" t="s">
        <v>11</v>
      </c>
      <c r="G130" s="54">
        <v>40763</v>
      </c>
      <c r="H130" s="53"/>
      <c r="I130" s="53">
        <v>865</v>
      </c>
      <c r="J130" s="39" t="s">
        <v>33</v>
      </c>
      <c r="K130" s="39" t="s">
        <v>965</v>
      </c>
      <c r="L130" s="39"/>
      <c r="M130" s="39"/>
      <c r="N130" s="39"/>
      <c r="O130" s="40"/>
    </row>
    <row r="131" spans="1:15" x14ac:dyDescent="0.55000000000000004">
      <c r="A131" s="24" t="str">
        <f>IF(COUNTIF(B131:$B$5014,B131)&gt;1,IF(COUNTIF($B$5:B131,B131)&gt;1,"",B131&amp;"-I"),B131)</f>
        <v>967-I</v>
      </c>
      <c r="B131" s="29">
        <f t="shared" si="1"/>
        <v>967</v>
      </c>
      <c r="C131" s="36" t="s">
        <v>148</v>
      </c>
      <c r="D131" s="53">
        <v>212</v>
      </c>
      <c r="E131" s="53"/>
      <c r="F131" s="53" t="s">
        <v>12</v>
      </c>
      <c r="G131" s="54">
        <v>40770</v>
      </c>
      <c r="H131" s="53"/>
      <c r="I131" s="53">
        <v>967</v>
      </c>
      <c r="J131" s="39" t="s">
        <v>33</v>
      </c>
      <c r="K131" s="39" t="s">
        <v>965</v>
      </c>
      <c r="L131" s="39"/>
      <c r="M131" s="39"/>
      <c r="N131" s="39"/>
      <c r="O131" s="40"/>
    </row>
    <row r="132" spans="1:15" x14ac:dyDescent="0.55000000000000004">
      <c r="A132" s="24" t="str">
        <f>IF(COUNTIF(B132:$B$5014,B132)&gt;1,IF(COUNTIF($B$5:B132,B132)&gt;1,"",B132&amp;"-I"),B132)</f>
        <v/>
      </c>
      <c r="B132" s="29">
        <f t="shared" si="1"/>
        <v>951</v>
      </c>
      <c r="C132" s="36" t="s">
        <v>149</v>
      </c>
      <c r="D132" s="53">
        <v>213</v>
      </c>
      <c r="E132" s="53"/>
      <c r="F132" s="53" t="s">
        <v>12</v>
      </c>
      <c r="G132" s="54">
        <v>40778</v>
      </c>
      <c r="H132" s="53"/>
      <c r="I132" s="53">
        <v>951</v>
      </c>
      <c r="J132" s="39" t="s">
        <v>33</v>
      </c>
      <c r="K132" s="39" t="s">
        <v>965</v>
      </c>
      <c r="L132" s="39"/>
      <c r="M132" s="39"/>
      <c r="N132" s="39"/>
      <c r="O132" s="40"/>
    </row>
    <row r="133" spans="1:15" x14ac:dyDescent="0.55000000000000004">
      <c r="A133" s="24" t="str">
        <f>IF(COUNTIF(B133:$B$5014,B133)&gt;1,IF(COUNTIF($B$5:B133,B133)&gt;1,"",B133&amp;"-I"),B133)</f>
        <v>973-I</v>
      </c>
      <c r="B133" s="29">
        <f t="shared" ref="B133:B196" si="2">+I133</f>
        <v>973</v>
      </c>
      <c r="C133" s="36" t="s">
        <v>150</v>
      </c>
      <c r="D133" s="53">
        <v>220</v>
      </c>
      <c r="E133" s="53"/>
      <c r="F133" s="53" t="s">
        <v>12</v>
      </c>
      <c r="G133" s="54">
        <v>40791</v>
      </c>
      <c r="H133" s="53"/>
      <c r="I133" s="53">
        <v>973</v>
      </c>
      <c r="J133" s="39" t="s">
        <v>33</v>
      </c>
      <c r="K133" s="39" t="s">
        <v>965</v>
      </c>
      <c r="L133" s="39"/>
      <c r="M133" s="39"/>
      <c r="N133" s="39"/>
      <c r="O133" s="40"/>
    </row>
    <row r="134" spans="1:15" x14ac:dyDescent="0.55000000000000004">
      <c r="A134" s="24" t="str">
        <f>IF(COUNTIF(B134:$B$5014,B134)&gt;1,IF(COUNTIF($B$5:B134,B134)&gt;1,"",B134&amp;"-I"),B134)</f>
        <v/>
      </c>
      <c r="B134" s="29">
        <f t="shared" si="2"/>
        <v>898</v>
      </c>
      <c r="C134" s="36" t="s">
        <v>151</v>
      </c>
      <c r="D134" s="53">
        <v>222</v>
      </c>
      <c r="E134" s="53"/>
      <c r="F134" s="53" t="s">
        <v>12</v>
      </c>
      <c r="G134" s="54">
        <v>40795</v>
      </c>
      <c r="H134" s="53"/>
      <c r="I134" s="53">
        <v>898</v>
      </c>
      <c r="J134" s="39" t="s">
        <v>33</v>
      </c>
      <c r="K134" s="39" t="s">
        <v>965</v>
      </c>
      <c r="L134" s="39"/>
      <c r="M134" s="39"/>
      <c r="N134" s="39"/>
      <c r="O134" s="40"/>
    </row>
    <row r="135" spans="1:15" x14ac:dyDescent="0.55000000000000004">
      <c r="A135" s="24" t="str">
        <f>IF(COUNTIF(B135:$B$5014,B135)&gt;1,IF(COUNTIF($B$5:B135,B135)&gt;1,"",B135&amp;"-I"),B135)</f>
        <v>958-I</v>
      </c>
      <c r="B135" s="29">
        <f t="shared" si="2"/>
        <v>958</v>
      </c>
      <c r="C135" s="36" t="s">
        <v>152</v>
      </c>
      <c r="D135" s="53">
        <v>223</v>
      </c>
      <c r="E135" s="53"/>
      <c r="F135" s="53" t="s">
        <v>11</v>
      </c>
      <c r="G135" s="54">
        <v>40803</v>
      </c>
      <c r="H135" s="53"/>
      <c r="I135" s="53">
        <v>958</v>
      </c>
      <c r="J135" s="39" t="s">
        <v>33</v>
      </c>
      <c r="K135" s="39" t="s">
        <v>965</v>
      </c>
      <c r="L135" s="39"/>
      <c r="M135" s="39"/>
      <c r="N135" s="39"/>
      <c r="O135" s="40"/>
    </row>
    <row r="136" spans="1:15" x14ac:dyDescent="0.55000000000000004">
      <c r="A136" s="24" t="str">
        <f>IF(COUNTIF(B136:$B$5014,B136)&gt;1,IF(COUNTIF($B$5:B136,B136)&gt;1,"",B136&amp;"-I"),B136)</f>
        <v>964-I</v>
      </c>
      <c r="B136" s="29">
        <f t="shared" si="2"/>
        <v>964</v>
      </c>
      <c r="C136" s="36" t="s">
        <v>153</v>
      </c>
      <c r="D136" s="53">
        <v>224</v>
      </c>
      <c r="E136" s="53"/>
      <c r="F136" s="53" t="s">
        <v>11</v>
      </c>
      <c r="G136" s="54">
        <v>40805</v>
      </c>
      <c r="H136" s="53"/>
      <c r="I136" s="53">
        <v>964</v>
      </c>
      <c r="J136" s="39" t="s">
        <v>33</v>
      </c>
      <c r="K136" s="39" t="s">
        <v>965</v>
      </c>
      <c r="L136" s="39"/>
      <c r="M136" s="39"/>
      <c r="N136" s="39"/>
      <c r="O136" s="40"/>
    </row>
    <row r="137" spans="1:15" x14ac:dyDescent="0.55000000000000004">
      <c r="A137" s="24" t="str">
        <f>IF(COUNTIF(B137:$B$5014,B137)&gt;1,IF(COUNTIF($B$5:B137,B137)&gt;1,"",B137&amp;"-I"),B137)</f>
        <v>963-I</v>
      </c>
      <c r="B137" s="29">
        <f t="shared" si="2"/>
        <v>963</v>
      </c>
      <c r="C137" s="36" t="s">
        <v>154</v>
      </c>
      <c r="D137" s="53">
        <v>225</v>
      </c>
      <c r="E137" s="53"/>
      <c r="F137" s="53" t="s">
        <v>12</v>
      </c>
      <c r="G137" s="54">
        <v>40806</v>
      </c>
      <c r="H137" s="53"/>
      <c r="I137" s="53">
        <v>963</v>
      </c>
      <c r="J137" s="39" t="s">
        <v>33</v>
      </c>
      <c r="K137" s="39" t="s">
        <v>965</v>
      </c>
      <c r="L137" s="39"/>
      <c r="M137" s="39"/>
      <c r="N137" s="39"/>
      <c r="O137" s="40"/>
    </row>
    <row r="138" spans="1:15" x14ac:dyDescent="0.55000000000000004">
      <c r="A138" s="24" t="str">
        <f>IF(COUNTIF(B138:$B$5014,B138)&gt;1,IF(COUNTIF($B$5:B138,B138)&gt;1,"",B138&amp;"-I"),B138)</f>
        <v>969-I</v>
      </c>
      <c r="B138" s="29">
        <f t="shared" si="2"/>
        <v>969</v>
      </c>
      <c r="C138" s="36" t="s">
        <v>155</v>
      </c>
      <c r="D138" s="53">
        <v>227</v>
      </c>
      <c r="E138" s="53"/>
      <c r="F138" s="53" t="s">
        <v>12</v>
      </c>
      <c r="G138" s="54">
        <v>40806</v>
      </c>
      <c r="H138" s="53"/>
      <c r="I138" s="53">
        <v>969</v>
      </c>
      <c r="J138" s="39" t="s">
        <v>33</v>
      </c>
      <c r="K138" s="39" t="s">
        <v>965</v>
      </c>
      <c r="L138" s="39"/>
      <c r="M138" s="39"/>
      <c r="N138" s="39"/>
      <c r="O138" s="40"/>
    </row>
    <row r="139" spans="1:15" x14ac:dyDescent="0.55000000000000004">
      <c r="A139" s="24" t="str">
        <f>IF(COUNTIF(B139:$B$5014,B139)&gt;1,IF(COUNTIF($B$5:B139,B139)&gt;1,"",B139&amp;"-I"),B139)</f>
        <v/>
      </c>
      <c r="B139" s="29">
        <f t="shared" si="2"/>
        <v>854</v>
      </c>
      <c r="C139" s="36" t="s">
        <v>156</v>
      </c>
      <c r="D139" s="53">
        <v>228</v>
      </c>
      <c r="E139" s="53"/>
      <c r="F139" s="53" t="s">
        <v>12</v>
      </c>
      <c r="G139" s="54">
        <v>40813</v>
      </c>
      <c r="H139" s="53"/>
      <c r="I139" s="53">
        <v>854</v>
      </c>
      <c r="J139" s="39" t="s">
        <v>33</v>
      </c>
      <c r="K139" s="39" t="s">
        <v>965</v>
      </c>
      <c r="L139" s="39"/>
      <c r="M139" s="39"/>
      <c r="N139" s="39"/>
      <c r="O139" s="40"/>
    </row>
    <row r="140" spans="1:15" x14ac:dyDescent="0.55000000000000004">
      <c r="A140" s="24" t="str">
        <f>IF(COUNTIF(B140:$B$5014,B140)&gt;1,IF(COUNTIF($B$5:B140,B140)&gt;1,"",B140&amp;"-I"),B140)</f>
        <v>965-I</v>
      </c>
      <c r="B140" s="29">
        <f t="shared" si="2"/>
        <v>965</v>
      </c>
      <c r="C140" s="36" t="s">
        <v>157</v>
      </c>
      <c r="D140" s="53">
        <v>229</v>
      </c>
      <c r="E140" s="53"/>
      <c r="F140" s="53" t="s">
        <v>11</v>
      </c>
      <c r="G140" s="54">
        <v>40813</v>
      </c>
      <c r="H140" s="53"/>
      <c r="I140" s="53">
        <v>965</v>
      </c>
      <c r="J140" s="39" t="s">
        <v>33</v>
      </c>
      <c r="K140" s="39" t="s">
        <v>965</v>
      </c>
      <c r="L140" s="39"/>
      <c r="M140" s="39"/>
      <c r="N140" s="39"/>
      <c r="O140" s="40"/>
    </row>
    <row r="141" spans="1:15" x14ac:dyDescent="0.55000000000000004">
      <c r="A141" s="24" t="str">
        <f>IF(COUNTIF(B141:$B$5014,B141)&gt;1,IF(COUNTIF($B$5:B141,B141)&gt;1,"",B141&amp;"-I"),B141)</f>
        <v/>
      </c>
      <c r="B141" s="29">
        <f t="shared" si="2"/>
        <v>867</v>
      </c>
      <c r="C141" s="36" t="s">
        <v>158</v>
      </c>
      <c r="D141" s="53">
        <v>230</v>
      </c>
      <c r="E141" s="53"/>
      <c r="F141" s="53" t="s">
        <v>11</v>
      </c>
      <c r="G141" s="54">
        <v>40819</v>
      </c>
      <c r="H141" s="53"/>
      <c r="I141" s="53">
        <v>867</v>
      </c>
      <c r="J141" s="39" t="s">
        <v>33</v>
      </c>
      <c r="K141" s="39" t="s">
        <v>965</v>
      </c>
      <c r="L141" s="39"/>
      <c r="M141" s="39"/>
      <c r="N141" s="39"/>
      <c r="O141" s="40"/>
    </row>
    <row r="142" spans="1:15" x14ac:dyDescent="0.55000000000000004">
      <c r="A142" s="24" t="str">
        <f>IF(COUNTIF(B142:$B$5014,B142)&gt;1,IF(COUNTIF($B$5:B142,B142)&gt;1,"",B142&amp;"-I"),B142)</f>
        <v/>
      </c>
      <c r="B142" s="29">
        <f t="shared" si="2"/>
        <v>885</v>
      </c>
      <c r="C142" s="36" t="s">
        <v>159</v>
      </c>
      <c r="D142" s="53">
        <v>231</v>
      </c>
      <c r="E142" s="53"/>
      <c r="F142" s="53" t="s">
        <v>11</v>
      </c>
      <c r="G142" s="54">
        <v>40819</v>
      </c>
      <c r="H142" s="53"/>
      <c r="I142" s="53">
        <v>885</v>
      </c>
      <c r="J142" s="39" t="s">
        <v>33</v>
      </c>
      <c r="K142" s="39" t="s">
        <v>965</v>
      </c>
      <c r="L142" s="39"/>
      <c r="M142" s="39"/>
      <c r="N142" s="39"/>
      <c r="O142" s="40"/>
    </row>
    <row r="143" spans="1:15" x14ac:dyDescent="0.55000000000000004">
      <c r="A143" s="24" t="str">
        <f>IF(COUNTIF(B143:$B$5014,B143)&gt;1,IF(COUNTIF($B$5:B143,B143)&gt;1,"",B143&amp;"-I"),B143)</f>
        <v/>
      </c>
      <c r="B143" s="29">
        <f t="shared" si="2"/>
        <v>896</v>
      </c>
      <c r="C143" s="36" t="s">
        <v>160</v>
      </c>
      <c r="D143" s="53">
        <v>233</v>
      </c>
      <c r="E143" s="53"/>
      <c r="F143" s="53" t="s">
        <v>12</v>
      </c>
      <c r="G143" s="54">
        <v>40820</v>
      </c>
      <c r="H143" s="53"/>
      <c r="I143" s="53">
        <v>896</v>
      </c>
      <c r="J143" s="39" t="s">
        <v>33</v>
      </c>
      <c r="K143" s="39" t="s">
        <v>965</v>
      </c>
      <c r="L143" s="39"/>
      <c r="M143" s="39"/>
      <c r="N143" s="39"/>
      <c r="O143" s="40"/>
    </row>
    <row r="144" spans="1:15" x14ac:dyDescent="0.55000000000000004">
      <c r="A144" s="24" t="str">
        <f>IF(COUNTIF(B144:$B$5014,B144)&gt;1,IF(COUNTIF($B$5:B144,B144)&gt;1,"",B144&amp;"-I"),B144)</f>
        <v/>
      </c>
      <c r="B144" s="29">
        <f t="shared" si="2"/>
        <v>869</v>
      </c>
      <c r="C144" s="36" t="s">
        <v>161</v>
      </c>
      <c r="D144" s="53">
        <v>234</v>
      </c>
      <c r="E144" s="53"/>
      <c r="F144" s="53" t="s">
        <v>11</v>
      </c>
      <c r="G144" s="54">
        <v>40825</v>
      </c>
      <c r="H144" s="53"/>
      <c r="I144" s="53">
        <v>869</v>
      </c>
      <c r="J144" s="39" t="s">
        <v>33</v>
      </c>
      <c r="K144" s="39" t="s">
        <v>965</v>
      </c>
      <c r="L144" s="39"/>
      <c r="M144" s="39"/>
      <c r="N144" s="39"/>
      <c r="O144" s="40"/>
    </row>
    <row r="145" spans="1:15" x14ac:dyDescent="0.55000000000000004">
      <c r="A145" s="24" t="str">
        <f>IF(COUNTIF(B145:$B$5014,B145)&gt;1,IF(COUNTIF($B$5:B145,B145)&gt;1,"",B145&amp;"-I"),B145)</f>
        <v/>
      </c>
      <c r="B145" s="29">
        <f t="shared" si="2"/>
        <v>936</v>
      </c>
      <c r="C145" s="36" t="s">
        <v>162</v>
      </c>
      <c r="D145" s="53">
        <v>236</v>
      </c>
      <c r="E145" s="53"/>
      <c r="F145" s="53" t="s">
        <v>12</v>
      </c>
      <c r="G145" s="54">
        <v>40828</v>
      </c>
      <c r="H145" s="53"/>
      <c r="I145" s="53">
        <v>936</v>
      </c>
      <c r="J145" s="39" t="s">
        <v>33</v>
      </c>
      <c r="K145" s="39" t="s">
        <v>965</v>
      </c>
      <c r="L145" s="39"/>
      <c r="M145" s="39"/>
      <c r="N145" s="39"/>
      <c r="O145" s="40"/>
    </row>
    <row r="146" spans="1:15" x14ac:dyDescent="0.55000000000000004">
      <c r="A146" s="24" t="str">
        <f>IF(COUNTIF(B146:$B$5014,B146)&gt;1,IF(COUNTIF($B$5:B146,B146)&gt;1,"",B146&amp;"-I"),B146)</f>
        <v/>
      </c>
      <c r="B146" s="29">
        <f t="shared" si="2"/>
        <v>946</v>
      </c>
      <c r="C146" s="36" t="s">
        <v>163</v>
      </c>
      <c r="D146" s="53">
        <v>237</v>
      </c>
      <c r="E146" s="53"/>
      <c r="F146" s="53" t="s">
        <v>11</v>
      </c>
      <c r="G146" s="54">
        <v>40831</v>
      </c>
      <c r="H146" s="53"/>
      <c r="I146" s="53">
        <v>946</v>
      </c>
      <c r="J146" s="39" t="s">
        <v>33</v>
      </c>
      <c r="K146" s="39" t="s">
        <v>965</v>
      </c>
      <c r="L146" s="39"/>
      <c r="M146" s="39"/>
      <c r="N146" s="39"/>
      <c r="O146" s="40"/>
    </row>
    <row r="147" spans="1:15" x14ac:dyDescent="0.55000000000000004">
      <c r="A147" s="24" t="str">
        <f>IF(COUNTIF(B147:$B$5014,B147)&gt;1,IF(COUNTIF($B$5:B147,B147)&gt;1,"",B147&amp;"-I"),B147)</f>
        <v>957-I</v>
      </c>
      <c r="B147" s="29">
        <f t="shared" si="2"/>
        <v>957</v>
      </c>
      <c r="C147" s="36" t="s">
        <v>164</v>
      </c>
      <c r="D147" s="53">
        <v>238</v>
      </c>
      <c r="E147" s="53"/>
      <c r="F147" s="53" t="s">
        <v>12</v>
      </c>
      <c r="G147" s="54">
        <v>40833</v>
      </c>
      <c r="H147" s="53"/>
      <c r="I147" s="53">
        <v>957</v>
      </c>
      <c r="J147" s="39" t="s">
        <v>33</v>
      </c>
      <c r="K147" s="39" t="s">
        <v>965</v>
      </c>
      <c r="L147" s="39"/>
      <c r="M147" s="39"/>
      <c r="N147" s="39"/>
      <c r="O147" s="40"/>
    </row>
    <row r="148" spans="1:15" x14ac:dyDescent="0.55000000000000004">
      <c r="A148" s="24" t="str">
        <f>IF(COUNTIF(B148:$B$5014,B148)&gt;1,IF(COUNTIF($B$5:B148,B148)&gt;1,"",B148&amp;"-I"),B148)</f>
        <v/>
      </c>
      <c r="B148" s="29">
        <f t="shared" si="2"/>
        <v>956</v>
      </c>
      <c r="C148" s="36" t="s">
        <v>165</v>
      </c>
      <c r="D148" s="53">
        <v>240</v>
      </c>
      <c r="E148" s="53"/>
      <c r="F148" s="53" t="s">
        <v>12</v>
      </c>
      <c r="G148" s="54">
        <v>40835</v>
      </c>
      <c r="H148" s="53"/>
      <c r="I148" s="53">
        <v>956</v>
      </c>
      <c r="J148" s="39" t="s">
        <v>33</v>
      </c>
      <c r="K148" s="39" t="s">
        <v>965</v>
      </c>
      <c r="L148" s="39"/>
      <c r="M148" s="39"/>
      <c r="N148" s="39"/>
      <c r="O148" s="40"/>
    </row>
    <row r="149" spans="1:15" x14ac:dyDescent="0.55000000000000004">
      <c r="A149" s="24" t="str">
        <f>IF(COUNTIF(B149:$B$5014,B149)&gt;1,IF(COUNTIF($B$5:B149,B149)&gt;1,"",B149&amp;"-I"),B149)</f>
        <v/>
      </c>
      <c r="B149" s="29">
        <f t="shared" si="2"/>
        <v>945</v>
      </c>
      <c r="C149" s="36" t="s">
        <v>166</v>
      </c>
      <c r="D149" s="53">
        <v>242</v>
      </c>
      <c r="E149" s="53"/>
      <c r="F149" s="53" t="s">
        <v>11</v>
      </c>
      <c r="G149" s="54">
        <v>40842</v>
      </c>
      <c r="H149" s="53"/>
      <c r="I149" s="53">
        <v>945</v>
      </c>
      <c r="J149" s="39" t="s">
        <v>33</v>
      </c>
      <c r="K149" s="39" t="s">
        <v>965</v>
      </c>
      <c r="L149" s="39"/>
      <c r="M149" s="39"/>
      <c r="N149" s="39"/>
      <c r="O149" s="40"/>
    </row>
    <row r="150" spans="1:15" x14ac:dyDescent="0.55000000000000004">
      <c r="A150" s="24" t="str">
        <f>IF(COUNTIF(B150:$B$5014,B150)&gt;1,IF(COUNTIF($B$5:B150,B150)&gt;1,"",B150&amp;"-I"),B150)</f>
        <v/>
      </c>
      <c r="B150" s="29">
        <f t="shared" si="2"/>
        <v>860</v>
      </c>
      <c r="C150" s="36" t="s">
        <v>167</v>
      </c>
      <c r="D150" s="53">
        <v>245</v>
      </c>
      <c r="E150" s="53"/>
      <c r="F150" s="53" t="s">
        <v>12</v>
      </c>
      <c r="G150" s="54">
        <v>40850</v>
      </c>
      <c r="H150" s="53"/>
      <c r="I150" s="53">
        <v>860</v>
      </c>
      <c r="J150" s="39" t="s">
        <v>33</v>
      </c>
      <c r="K150" s="39" t="s">
        <v>965</v>
      </c>
      <c r="L150" s="39"/>
      <c r="M150" s="39"/>
      <c r="N150" s="39"/>
      <c r="O150" s="40"/>
    </row>
    <row r="151" spans="1:15" x14ac:dyDescent="0.55000000000000004">
      <c r="A151" s="24" t="str">
        <f>IF(COUNTIF(B151:$B$5014,B151)&gt;1,IF(COUNTIF($B$5:B151,B151)&gt;1,"",B151&amp;"-I"),B151)</f>
        <v/>
      </c>
      <c r="B151" s="29">
        <f t="shared" si="2"/>
        <v>943</v>
      </c>
      <c r="C151" s="36" t="s">
        <v>168</v>
      </c>
      <c r="D151" s="53">
        <v>246</v>
      </c>
      <c r="E151" s="53"/>
      <c r="F151" s="53" t="s">
        <v>12</v>
      </c>
      <c r="G151" s="54">
        <v>40850</v>
      </c>
      <c r="H151" s="53"/>
      <c r="I151" s="53">
        <v>943</v>
      </c>
      <c r="J151" s="39" t="s">
        <v>33</v>
      </c>
      <c r="K151" s="39" t="s">
        <v>965</v>
      </c>
      <c r="L151" s="39"/>
      <c r="M151" s="39"/>
      <c r="N151" s="39"/>
      <c r="O151" s="40"/>
    </row>
    <row r="152" spans="1:15" x14ac:dyDescent="0.55000000000000004">
      <c r="A152" s="24" t="str">
        <f>IF(COUNTIF(B152:$B$5014,B152)&gt;1,IF(COUNTIF($B$5:B152,B152)&gt;1,"",B152&amp;"-I"),B152)</f>
        <v/>
      </c>
      <c r="B152" s="29">
        <f t="shared" si="2"/>
        <v>954</v>
      </c>
      <c r="C152" s="36" t="s">
        <v>169</v>
      </c>
      <c r="D152" s="53">
        <v>247</v>
      </c>
      <c r="E152" s="53"/>
      <c r="F152" s="53" t="s">
        <v>11</v>
      </c>
      <c r="G152" s="54">
        <v>40850</v>
      </c>
      <c r="H152" s="53"/>
      <c r="I152" s="53">
        <v>954</v>
      </c>
      <c r="J152" s="39" t="s">
        <v>33</v>
      </c>
      <c r="K152" s="39" t="s">
        <v>965</v>
      </c>
      <c r="L152" s="39"/>
      <c r="M152" s="39"/>
      <c r="N152" s="39"/>
      <c r="O152" s="40"/>
    </row>
    <row r="153" spans="1:15" x14ac:dyDescent="0.55000000000000004">
      <c r="A153" s="24" t="str">
        <f>IF(COUNTIF(B153:$B$5014,B153)&gt;1,IF(COUNTIF($B$5:B153,B153)&gt;1,"",B153&amp;"-I"),B153)</f>
        <v/>
      </c>
      <c r="B153" s="29">
        <f t="shared" si="2"/>
        <v>876</v>
      </c>
      <c r="C153" s="36" t="s">
        <v>170</v>
      </c>
      <c r="D153" s="53">
        <v>248</v>
      </c>
      <c r="E153" s="53"/>
      <c r="F153" s="53" t="s">
        <v>12</v>
      </c>
      <c r="G153" s="54">
        <v>40849</v>
      </c>
      <c r="H153" s="53"/>
      <c r="I153" s="53">
        <v>876</v>
      </c>
      <c r="J153" s="39" t="s">
        <v>33</v>
      </c>
      <c r="K153" s="39" t="s">
        <v>965</v>
      </c>
      <c r="L153" s="39"/>
      <c r="M153" s="39"/>
      <c r="N153" s="39"/>
      <c r="O153" s="40"/>
    </row>
    <row r="154" spans="1:15" x14ac:dyDescent="0.55000000000000004">
      <c r="A154" s="24" t="str">
        <f>IF(COUNTIF(B154:$B$5014,B154)&gt;1,IF(COUNTIF($B$5:B154,B154)&gt;1,"",B154&amp;"-I"),B154)</f>
        <v/>
      </c>
      <c r="B154" s="29">
        <f t="shared" si="2"/>
        <v>889</v>
      </c>
      <c r="C154" s="36" t="s">
        <v>171</v>
      </c>
      <c r="D154" s="53">
        <v>250</v>
      </c>
      <c r="E154" s="53"/>
      <c r="F154" s="53" t="s">
        <v>11</v>
      </c>
      <c r="G154" s="54">
        <v>40856</v>
      </c>
      <c r="H154" s="53"/>
      <c r="I154" s="53">
        <v>889</v>
      </c>
      <c r="J154" s="39" t="s">
        <v>33</v>
      </c>
      <c r="K154" s="39" t="s">
        <v>965</v>
      </c>
      <c r="L154" s="39"/>
      <c r="M154" s="39"/>
      <c r="N154" s="39"/>
      <c r="O154" s="40"/>
    </row>
    <row r="155" spans="1:15" x14ac:dyDescent="0.55000000000000004">
      <c r="A155" s="24" t="str">
        <f>IF(COUNTIF(B155:$B$5014,B155)&gt;1,IF(COUNTIF($B$5:B155,B155)&gt;1,"",B155&amp;"-I"),B155)</f>
        <v/>
      </c>
      <c r="B155" s="29">
        <f t="shared" si="2"/>
        <v>950</v>
      </c>
      <c r="C155" s="36" t="s">
        <v>172</v>
      </c>
      <c r="D155" s="53">
        <v>251</v>
      </c>
      <c r="E155" s="53"/>
      <c r="F155" s="53" t="s">
        <v>12</v>
      </c>
      <c r="G155" s="54">
        <v>40858</v>
      </c>
      <c r="H155" s="53"/>
      <c r="I155" s="53">
        <v>950</v>
      </c>
      <c r="J155" s="39" t="s">
        <v>33</v>
      </c>
      <c r="K155" s="39" t="s">
        <v>965</v>
      </c>
      <c r="L155" s="39"/>
      <c r="M155" s="39"/>
      <c r="N155" s="39"/>
      <c r="O155" s="40"/>
    </row>
    <row r="156" spans="1:15" x14ac:dyDescent="0.55000000000000004">
      <c r="A156" s="24" t="str">
        <f>IF(COUNTIF(B156:$B$5014,B156)&gt;1,IF(COUNTIF($B$5:B156,B156)&gt;1,"",B156&amp;"-I"),B156)</f>
        <v/>
      </c>
      <c r="B156" s="29">
        <f t="shared" si="2"/>
        <v>863</v>
      </c>
      <c r="C156" s="36" t="s">
        <v>173</v>
      </c>
      <c r="D156" s="53">
        <v>252</v>
      </c>
      <c r="E156" s="53"/>
      <c r="F156" s="53" t="s">
        <v>11</v>
      </c>
      <c r="G156" s="54">
        <v>40861</v>
      </c>
      <c r="H156" s="53"/>
      <c r="I156" s="53">
        <v>863</v>
      </c>
      <c r="J156" s="39" t="s">
        <v>33</v>
      </c>
      <c r="K156" s="39" t="s">
        <v>965</v>
      </c>
      <c r="L156" s="39"/>
      <c r="M156" s="39"/>
      <c r="N156" s="39"/>
      <c r="O156" s="40"/>
    </row>
    <row r="157" spans="1:15" x14ac:dyDescent="0.55000000000000004">
      <c r="A157" s="24" t="str">
        <f>IF(COUNTIF(B157:$B$5014,B157)&gt;1,IF(COUNTIF($B$5:B157,B157)&gt;1,"",B157&amp;"-I"),B157)</f>
        <v/>
      </c>
      <c r="B157" s="29">
        <f t="shared" si="2"/>
        <v>874</v>
      </c>
      <c r="C157" s="36" t="s">
        <v>174</v>
      </c>
      <c r="D157" s="53">
        <v>253</v>
      </c>
      <c r="E157" s="53"/>
      <c r="F157" s="53" t="s">
        <v>11</v>
      </c>
      <c r="G157" s="54">
        <v>40864</v>
      </c>
      <c r="H157" s="53"/>
      <c r="I157" s="53">
        <v>874</v>
      </c>
      <c r="J157" s="39" t="s">
        <v>33</v>
      </c>
      <c r="K157" s="39" t="s">
        <v>965</v>
      </c>
      <c r="L157" s="39"/>
      <c r="M157" s="39"/>
      <c r="N157" s="39"/>
      <c r="O157" s="40"/>
    </row>
    <row r="158" spans="1:15" x14ac:dyDescent="0.55000000000000004">
      <c r="A158" s="24" t="str">
        <f>IF(COUNTIF(B158:$B$5014,B158)&gt;1,IF(COUNTIF($B$5:B158,B158)&gt;1,"",B158&amp;"-I"),B158)</f>
        <v>968-I</v>
      </c>
      <c r="B158" s="29">
        <f t="shared" si="2"/>
        <v>968</v>
      </c>
      <c r="C158" s="36" t="s">
        <v>175</v>
      </c>
      <c r="D158" s="53">
        <v>254</v>
      </c>
      <c r="E158" s="53"/>
      <c r="F158" s="53" t="s">
        <v>11</v>
      </c>
      <c r="G158" s="54">
        <v>40864</v>
      </c>
      <c r="H158" s="53"/>
      <c r="I158" s="53">
        <v>968</v>
      </c>
      <c r="J158" s="39" t="s">
        <v>33</v>
      </c>
      <c r="K158" s="39" t="s">
        <v>965</v>
      </c>
      <c r="L158" s="39"/>
      <c r="M158" s="39"/>
      <c r="N158" s="39"/>
      <c r="O158" s="40"/>
    </row>
    <row r="159" spans="1:15" x14ac:dyDescent="0.55000000000000004">
      <c r="A159" s="24" t="str">
        <f>IF(COUNTIF(B159:$B$5014,B159)&gt;1,IF(COUNTIF($B$5:B159,B159)&gt;1,"",B159&amp;"-I"),B159)</f>
        <v/>
      </c>
      <c r="B159" s="29">
        <f t="shared" si="2"/>
        <v>949</v>
      </c>
      <c r="C159" s="36" t="s">
        <v>176</v>
      </c>
      <c r="D159" s="53">
        <v>255</v>
      </c>
      <c r="E159" s="53"/>
      <c r="F159" s="53" t="s">
        <v>11</v>
      </c>
      <c r="G159" s="54">
        <v>40864</v>
      </c>
      <c r="H159" s="53"/>
      <c r="I159" s="53">
        <v>949</v>
      </c>
      <c r="J159" s="39" t="s">
        <v>33</v>
      </c>
      <c r="K159" s="39" t="s">
        <v>965</v>
      </c>
      <c r="L159" s="39"/>
      <c r="M159" s="39"/>
      <c r="N159" s="39"/>
      <c r="O159" s="40"/>
    </row>
    <row r="160" spans="1:15" x14ac:dyDescent="0.55000000000000004">
      <c r="A160" s="24" t="str">
        <f>IF(COUNTIF(B160:$B$5014,B160)&gt;1,IF(COUNTIF($B$5:B160,B160)&gt;1,"",B160&amp;"-I"),B160)</f>
        <v/>
      </c>
      <c r="B160" s="29">
        <f t="shared" si="2"/>
        <v>900</v>
      </c>
      <c r="C160" s="36" t="s">
        <v>177</v>
      </c>
      <c r="D160" s="53">
        <v>256</v>
      </c>
      <c r="E160" s="53"/>
      <c r="F160" s="53" t="s">
        <v>11</v>
      </c>
      <c r="G160" s="54">
        <v>40863</v>
      </c>
      <c r="H160" s="53"/>
      <c r="I160" s="53">
        <v>900</v>
      </c>
      <c r="J160" s="39" t="s">
        <v>33</v>
      </c>
      <c r="K160" s="39" t="s">
        <v>965</v>
      </c>
      <c r="L160" s="39"/>
      <c r="M160" s="39"/>
      <c r="N160" s="39"/>
      <c r="O160" s="40"/>
    </row>
    <row r="161" spans="1:15" x14ac:dyDescent="0.55000000000000004">
      <c r="A161" s="24" t="str">
        <f>IF(COUNTIF(B161:$B$5014,B161)&gt;1,IF(COUNTIF($B$5:B161,B161)&gt;1,"",B161&amp;"-I"),B161)</f>
        <v/>
      </c>
      <c r="B161" s="29">
        <f t="shared" si="2"/>
        <v>942</v>
      </c>
      <c r="C161" s="36" t="s">
        <v>178</v>
      </c>
      <c r="D161" s="53">
        <v>257</v>
      </c>
      <c r="E161" s="53"/>
      <c r="F161" s="53" t="s">
        <v>11</v>
      </c>
      <c r="G161" s="54">
        <v>40868</v>
      </c>
      <c r="H161" s="53"/>
      <c r="I161" s="53">
        <v>942</v>
      </c>
      <c r="J161" s="39" t="s">
        <v>33</v>
      </c>
      <c r="K161" s="39" t="s">
        <v>965</v>
      </c>
      <c r="L161" s="39"/>
      <c r="M161" s="39"/>
      <c r="N161" s="39"/>
      <c r="O161" s="40"/>
    </row>
    <row r="162" spans="1:15" x14ac:dyDescent="0.55000000000000004">
      <c r="A162" s="24" t="str">
        <f>IF(COUNTIF(B162:$B$5014,B162)&gt;1,IF(COUNTIF($B$5:B162,B162)&gt;1,"",B162&amp;"-I"),B162)</f>
        <v/>
      </c>
      <c r="B162" s="29">
        <f t="shared" si="2"/>
        <v>933</v>
      </c>
      <c r="C162" s="36" t="s">
        <v>179</v>
      </c>
      <c r="D162" s="53">
        <v>258</v>
      </c>
      <c r="E162" s="53"/>
      <c r="F162" s="53" t="s">
        <v>11</v>
      </c>
      <c r="G162" s="54">
        <v>40869</v>
      </c>
      <c r="H162" s="53"/>
      <c r="I162" s="53">
        <v>933</v>
      </c>
      <c r="J162" s="39" t="s">
        <v>33</v>
      </c>
      <c r="K162" s="39" t="s">
        <v>965</v>
      </c>
      <c r="L162" s="39"/>
      <c r="M162" s="39"/>
      <c r="N162" s="39"/>
      <c r="O162" s="40"/>
    </row>
    <row r="163" spans="1:15" x14ac:dyDescent="0.55000000000000004">
      <c r="A163" s="24" t="str">
        <f>IF(COUNTIF(B163:$B$5014,B163)&gt;1,IF(COUNTIF($B$5:B163,B163)&gt;1,"",B163&amp;"-I"),B163)</f>
        <v>972-I</v>
      </c>
      <c r="B163" s="29">
        <f t="shared" si="2"/>
        <v>972</v>
      </c>
      <c r="C163" s="36" t="s">
        <v>180</v>
      </c>
      <c r="D163" s="53">
        <v>259</v>
      </c>
      <c r="E163" s="53"/>
      <c r="F163" s="53" t="s">
        <v>12</v>
      </c>
      <c r="G163" s="54">
        <v>40870</v>
      </c>
      <c r="H163" s="53"/>
      <c r="I163" s="53">
        <v>972</v>
      </c>
      <c r="J163" s="39" t="s">
        <v>33</v>
      </c>
      <c r="K163" s="39" t="s">
        <v>965</v>
      </c>
      <c r="L163" s="39"/>
      <c r="M163" s="39"/>
      <c r="N163" s="39"/>
      <c r="O163" s="40"/>
    </row>
    <row r="164" spans="1:15" x14ac:dyDescent="0.55000000000000004">
      <c r="A164" s="24" t="str">
        <f>IF(COUNTIF(B164:$B$5014,B164)&gt;1,IF(COUNTIF($B$5:B164,B164)&gt;1,"",B164&amp;"-I"),B164)</f>
        <v>974-I</v>
      </c>
      <c r="B164" s="29">
        <f t="shared" si="2"/>
        <v>974</v>
      </c>
      <c r="C164" s="36" t="s">
        <v>181</v>
      </c>
      <c r="D164" s="53">
        <v>261</v>
      </c>
      <c r="E164" s="53"/>
      <c r="F164" s="53" t="s">
        <v>11</v>
      </c>
      <c r="G164" s="54">
        <v>40872</v>
      </c>
      <c r="H164" s="53"/>
      <c r="I164" s="23">
        <v>974</v>
      </c>
      <c r="J164" s="39" t="s">
        <v>33</v>
      </c>
      <c r="K164" s="39" t="s">
        <v>965</v>
      </c>
      <c r="L164" s="39"/>
      <c r="M164" s="39"/>
      <c r="N164" s="39"/>
      <c r="O164" s="40"/>
    </row>
    <row r="165" spans="1:15" x14ac:dyDescent="0.55000000000000004">
      <c r="A165" s="24" t="str">
        <f>IF(COUNTIF(B165:$B$5014,B165)&gt;1,IF(COUNTIF($B$5:B165,B165)&gt;1,"",B165&amp;"-I"),B165)</f>
        <v>959-I</v>
      </c>
      <c r="B165" s="29">
        <f t="shared" si="2"/>
        <v>959</v>
      </c>
      <c r="C165" s="36" t="s">
        <v>182</v>
      </c>
      <c r="D165" s="53">
        <v>262</v>
      </c>
      <c r="E165" s="53"/>
      <c r="F165" s="53" t="s">
        <v>11</v>
      </c>
      <c r="G165" s="54">
        <v>40876</v>
      </c>
      <c r="H165" s="53"/>
      <c r="I165" s="53">
        <v>959</v>
      </c>
      <c r="J165" s="39" t="s">
        <v>33</v>
      </c>
      <c r="K165" s="39" t="s">
        <v>965</v>
      </c>
      <c r="L165" s="39"/>
      <c r="M165" s="39"/>
      <c r="N165" s="39"/>
      <c r="O165" s="40"/>
    </row>
    <row r="166" spans="1:15" x14ac:dyDescent="0.55000000000000004">
      <c r="A166" s="24" t="str">
        <f>IF(COUNTIF(B166:$B$5014,B166)&gt;1,IF(COUNTIF($B$5:B166,B166)&gt;1,"",B166&amp;"-I"),B166)</f>
        <v/>
      </c>
      <c r="B166" s="29">
        <f t="shared" si="2"/>
        <v>944</v>
      </c>
      <c r="C166" s="36" t="s">
        <v>183</v>
      </c>
      <c r="D166" s="53">
        <v>264</v>
      </c>
      <c r="E166" s="53"/>
      <c r="F166" s="53" t="s">
        <v>11</v>
      </c>
      <c r="G166" s="54">
        <v>40896</v>
      </c>
      <c r="H166" s="53"/>
      <c r="I166" s="53">
        <v>944</v>
      </c>
      <c r="J166" s="39" t="s">
        <v>33</v>
      </c>
      <c r="K166" s="39" t="s">
        <v>965</v>
      </c>
      <c r="L166" s="39"/>
      <c r="M166" s="39"/>
      <c r="N166" s="39"/>
      <c r="O166" s="40"/>
    </row>
    <row r="167" spans="1:15" x14ac:dyDescent="0.55000000000000004">
      <c r="A167" s="24" t="str">
        <f>IF(COUNTIF(B167:$B$5014,B167)&gt;1,IF(COUNTIF($B$5:B167,B167)&gt;1,"",B167&amp;"-I"),B167)</f>
        <v/>
      </c>
      <c r="B167" s="29">
        <f t="shared" si="2"/>
        <v>881</v>
      </c>
      <c r="C167" s="36" t="s">
        <v>184</v>
      </c>
      <c r="D167" s="53">
        <v>268</v>
      </c>
      <c r="E167" s="53"/>
      <c r="F167" s="53" t="s">
        <v>11</v>
      </c>
      <c r="G167" s="54">
        <v>40908</v>
      </c>
      <c r="H167" s="53"/>
      <c r="I167" s="53">
        <v>881</v>
      </c>
      <c r="J167" s="39" t="s">
        <v>33</v>
      </c>
      <c r="K167" s="39" t="s">
        <v>965</v>
      </c>
      <c r="L167" s="39"/>
      <c r="M167" s="39"/>
      <c r="N167" s="39"/>
      <c r="O167" s="40"/>
    </row>
    <row r="168" spans="1:15" x14ac:dyDescent="0.55000000000000004">
      <c r="A168" s="24" t="str">
        <f>IF(COUNTIF(B168:$B$5014,B168)&gt;1,IF(COUNTIF($B$5:B168,B168)&gt;1,"",B168&amp;"-I"),B168)</f>
        <v/>
      </c>
      <c r="B168" s="29">
        <f t="shared" si="2"/>
        <v>859</v>
      </c>
      <c r="C168" s="36" t="s">
        <v>185</v>
      </c>
      <c r="D168" s="53">
        <v>269</v>
      </c>
      <c r="E168" s="53"/>
      <c r="F168" s="53" t="s">
        <v>11</v>
      </c>
      <c r="G168" s="54">
        <v>40918</v>
      </c>
      <c r="H168" s="53"/>
      <c r="I168" s="53">
        <v>859</v>
      </c>
      <c r="J168" s="39" t="s">
        <v>33</v>
      </c>
      <c r="K168" s="39" t="s">
        <v>965</v>
      </c>
      <c r="L168" s="39"/>
      <c r="M168" s="39"/>
      <c r="N168" s="39"/>
      <c r="O168" s="40"/>
    </row>
    <row r="169" spans="1:15" x14ac:dyDescent="0.55000000000000004">
      <c r="A169" s="24" t="str">
        <f>IF(COUNTIF(B169:$B$5014,B169)&gt;1,IF(COUNTIF($B$5:B169,B169)&gt;1,"",B169&amp;"-I"),B169)</f>
        <v/>
      </c>
      <c r="B169" s="29">
        <f t="shared" si="2"/>
        <v>872</v>
      </c>
      <c r="C169" s="36" t="s">
        <v>186</v>
      </c>
      <c r="D169" s="53">
        <v>270</v>
      </c>
      <c r="E169" s="53"/>
      <c r="F169" s="53" t="s">
        <v>12</v>
      </c>
      <c r="G169" s="54">
        <v>40930</v>
      </c>
      <c r="H169" s="53"/>
      <c r="I169" s="53">
        <v>872</v>
      </c>
      <c r="J169" s="39" t="s">
        <v>33</v>
      </c>
      <c r="K169" s="39" t="s">
        <v>965</v>
      </c>
      <c r="L169" s="39"/>
      <c r="M169" s="39"/>
      <c r="N169" s="39"/>
      <c r="O169" s="40"/>
    </row>
    <row r="170" spans="1:15" x14ac:dyDescent="0.55000000000000004">
      <c r="A170" s="24" t="str">
        <f>IF(COUNTIF(B170:$B$5014,B170)&gt;1,IF(COUNTIF($B$5:B170,B170)&gt;1,"",B170&amp;"-I"),B170)</f>
        <v/>
      </c>
      <c r="B170" s="29">
        <f t="shared" si="2"/>
        <v>926</v>
      </c>
      <c r="C170" s="36" t="s">
        <v>187</v>
      </c>
      <c r="D170" s="53">
        <v>271</v>
      </c>
      <c r="E170" s="53"/>
      <c r="F170" s="53" t="s">
        <v>12</v>
      </c>
      <c r="G170" s="54">
        <v>40934</v>
      </c>
      <c r="H170" s="53"/>
      <c r="I170" s="53">
        <v>926</v>
      </c>
      <c r="J170" s="39" t="s">
        <v>33</v>
      </c>
      <c r="K170" s="39" t="s">
        <v>965</v>
      </c>
      <c r="L170" s="39"/>
      <c r="M170" s="39"/>
      <c r="N170" s="39"/>
      <c r="O170" s="40"/>
    </row>
    <row r="171" spans="1:15" x14ac:dyDescent="0.55000000000000004">
      <c r="A171" s="24" t="str">
        <f>IF(COUNTIF(B171:$B$5014,B171)&gt;1,IF(COUNTIF($B$5:B171,B171)&gt;1,"",B171&amp;"-I"),B171)</f>
        <v/>
      </c>
      <c r="B171" s="29">
        <f t="shared" si="2"/>
        <v>886</v>
      </c>
      <c r="C171" s="36" t="s">
        <v>188</v>
      </c>
      <c r="D171" s="53">
        <v>272</v>
      </c>
      <c r="E171" s="53"/>
      <c r="F171" s="53" t="s">
        <v>11</v>
      </c>
      <c r="G171" s="54">
        <v>40944</v>
      </c>
      <c r="H171" s="53"/>
      <c r="I171" s="53">
        <v>886</v>
      </c>
      <c r="J171" s="39" t="s">
        <v>33</v>
      </c>
      <c r="K171" s="39" t="s">
        <v>965</v>
      </c>
      <c r="L171" s="39"/>
      <c r="M171" s="39"/>
      <c r="N171" s="39"/>
      <c r="O171" s="40"/>
    </row>
    <row r="172" spans="1:15" x14ac:dyDescent="0.55000000000000004">
      <c r="A172" s="24" t="str">
        <f>IF(COUNTIF(B172:$B$5014,B172)&gt;1,IF(COUNTIF($B$5:B172,B172)&gt;1,"",B172&amp;"-I"),B172)</f>
        <v/>
      </c>
      <c r="B172" s="29">
        <f t="shared" si="2"/>
        <v>929</v>
      </c>
      <c r="C172" s="36" t="s">
        <v>189</v>
      </c>
      <c r="D172" s="53">
        <v>273</v>
      </c>
      <c r="E172" s="53"/>
      <c r="F172" s="53" t="s">
        <v>11</v>
      </c>
      <c r="G172" s="54">
        <v>40947</v>
      </c>
      <c r="H172" s="53"/>
      <c r="I172" s="53">
        <v>929</v>
      </c>
      <c r="J172" s="39" t="s">
        <v>33</v>
      </c>
      <c r="K172" s="39" t="s">
        <v>965</v>
      </c>
      <c r="L172" s="39"/>
      <c r="M172" s="39"/>
      <c r="N172" s="39"/>
      <c r="O172" s="40"/>
    </row>
    <row r="173" spans="1:15" x14ac:dyDescent="0.55000000000000004">
      <c r="A173" s="24" t="str">
        <f>IF(COUNTIF(B173:$B$5014,B173)&gt;1,IF(COUNTIF($B$5:B173,B173)&gt;1,"",B173&amp;"-I"),B173)</f>
        <v/>
      </c>
      <c r="B173" s="29">
        <f t="shared" si="2"/>
        <v>877</v>
      </c>
      <c r="C173" s="36" t="s">
        <v>190</v>
      </c>
      <c r="D173" s="53">
        <v>275</v>
      </c>
      <c r="E173" s="53"/>
      <c r="F173" s="53" t="s">
        <v>12</v>
      </c>
      <c r="G173" s="54">
        <v>40969</v>
      </c>
      <c r="H173" s="53"/>
      <c r="I173" s="53">
        <v>877</v>
      </c>
      <c r="J173" s="39" t="s">
        <v>33</v>
      </c>
      <c r="K173" s="39" t="s">
        <v>965</v>
      </c>
      <c r="L173" s="39"/>
      <c r="M173" s="39"/>
      <c r="N173" s="39"/>
      <c r="O173" s="40"/>
    </row>
    <row r="174" spans="1:15" x14ac:dyDescent="0.55000000000000004">
      <c r="A174" s="24" t="str">
        <f>IF(COUNTIF(B174:$B$5014,B174)&gt;1,IF(COUNTIF($B$5:B174,B174)&gt;1,"",B174&amp;"-I"),B174)</f>
        <v/>
      </c>
      <c r="B174" s="29">
        <f t="shared" si="2"/>
        <v>884</v>
      </c>
      <c r="C174" s="36" t="s">
        <v>191</v>
      </c>
      <c r="D174" s="53">
        <v>276</v>
      </c>
      <c r="E174" s="53"/>
      <c r="F174" s="53" t="s">
        <v>11</v>
      </c>
      <c r="G174" s="54">
        <v>41021</v>
      </c>
      <c r="H174" s="53"/>
      <c r="I174" s="53">
        <v>884</v>
      </c>
      <c r="J174" s="39" t="s">
        <v>33</v>
      </c>
      <c r="K174" s="39" t="s">
        <v>965</v>
      </c>
      <c r="L174" s="39"/>
      <c r="M174" s="39"/>
      <c r="N174" s="39"/>
      <c r="O174" s="40"/>
    </row>
    <row r="175" spans="1:15" x14ac:dyDescent="0.55000000000000004">
      <c r="A175" s="24" t="str">
        <f>IF(COUNTIF(B175:$B$5014,B175)&gt;1,IF(COUNTIF($B$5:B175,B175)&gt;1,"",B175&amp;"-I"),B175)</f>
        <v/>
      </c>
      <c r="B175" s="29">
        <f t="shared" si="2"/>
        <v>899</v>
      </c>
      <c r="C175" s="36" t="s">
        <v>192</v>
      </c>
      <c r="D175" s="53">
        <v>278</v>
      </c>
      <c r="E175" s="53"/>
      <c r="F175" s="53" t="s">
        <v>12</v>
      </c>
      <c r="G175" s="54">
        <v>40999</v>
      </c>
      <c r="H175" s="53"/>
      <c r="I175" s="53">
        <v>899</v>
      </c>
      <c r="J175" s="39" t="s">
        <v>33</v>
      </c>
      <c r="K175" s="39" t="s">
        <v>965</v>
      </c>
      <c r="L175" s="39"/>
      <c r="M175" s="39"/>
      <c r="N175" s="39"/>
      <c r="O175" s="40"/>
    </row>
    <row r="176" spans="1:15" x14ac:dyDescent="0.55000000000000004">
      <c r="A176" s="24" t="str">
        <f>IF(COUNTIF(B176:$B$5014,B176)&gt;1,IF(COUNTIF($B$5:B176,B176)&gt;1,"",B176&amp;"-I"),B176)</f>
        <v/>
      </c>
      <c r="B176" s="29">
        <f t="shared" si="2"/>
        <v>880</v>
      </c>
      <c r="C176" s="36" t="s">
        <v>193</v>
      </c>
      <c r="D176" s="53">
        <v>279</v>
      </c>
      <c r="E176" s="53"/>
      <c r="F176" s="53" t="s">
        <v>12</v>
      </c>
      <c r="G176" s="54">
        <v>40997</v>
      </c>
      <c r="H176" s="53"/>
      <c r="I176" s="53">
        <v>880</v>
      </c>
      <c r="J176" s="39" t="s">
        <v>33</v>
      </c>
      <c r="K176" s="39" t="s">
        <v>965</v>
      </c>
      <c r="L176" s="39"/>
      <c r="M176" s="39"/>
      <c r="N176" s="39"/>
      <c r="O176" s="40"/>
    </row>
    <row r="177" spans="1:15" x14ac:dyDescent="0.55000000000000004">
      <c r="A177" s="24" t="str">
        <f>IF(COUNTIF(B177:$B$5014,B177)&gt;1,IF(COUNTIF($B$5:B177,B177)&gt;1,"",B177&amp;"-I"),B177)</f>
        <v/>
      </c>
      <c r="B177" s="29">
        <f t="shared" si="2"/>
        <v>897</v>
      </c>
      <c r="C177" s="36" t="s">
        <v>194</v>
      </c>
      <c r="D177" s="53">
        <v>284</v>
      </c>
      <c r="E177" s="53"/>
      <c r="F177" s="53" t="s">
        <v>12</v>
      </c>
      <c r="G177" s="54">
        <v>41039</v>
      </c>
      <c r="H177" s="53"/>
      <c r="I177" s="53">
        <v>897</v>
      </c>
      <c r="J177" s="39" t="s">
        <v>33</v>
      </c>
      <c r="K177" s="39" t="s">
        <v>965</v>
      </c>
      <c r="L177" s="39"/>
      <c r="M177" s="39"/>
      <c r="N177" s="39"/>
      <c r="O177" s="40"/>
    </row>
    <row r="178" spans="1:15" x14ac:dyDescent="0.55000000000000004">
      <c r="A178" s="24" t="str">
        <f>IF(COUNTIF(B178:$B$5014,B178)&gt;1,IF(COUNTIF($B$5:B178,B178)&gt;1,"",B178&amp;"-I"),B178)</f>
        <v/>
      </c>
      <c r="B178" s="29">
        <f t="shared" si="2"/>
        <v>871</v>
      </c>
      <c r="C178" s="36" t="s">
        <v>195</v>
      </c>
      <c r="D178" s="53">
        <v>285</v>
      </c>
      <c r="E178" s="53"/>
      <c r="F178" s="53" t="s">
        <v>12</v>
      </c>
      <c r="G178" s="54">
        <v>41050</v>
      </c>
      <c r="H178" s="53"/>
      <c r="I178" s="53">
        <v>871</v>
      </c>
      <c r="J178" s="39" t="s">
        <v>33</v>
      </c>
      <c r="K178" s="39" t="s">
        <v>965</v>
      </c>
      <c r="L178" s="39"/>
      <c r="M178" s="39"/>
      <c r="N178" s="39"/>
      <c r="O178" s="40"/>
    </row>
    <row r="179" spans="1:15" x14ac:dyDescent="0.55000000000000004">
      <c r="A179" s="24" t="str">
        <f>IF(COUNTIF(B179:$B$5014,B179)&gt;1,IF(COUNTIF($B$5:B179,B179)&gt;1,"",B179&amp;"-I"),B179)</f>
        <v/>
      </c>
      <c r="B179" s="29">
        <f t="shared" si="2"/>
        <v>873</v>
      </c>
      <c r="C179" s="36" t="s">
        <v>196</v>
      </c>
      <c r="D179" s="53">
        <v>286</v>
      </c>
      <c r="E179" s="53"/>
      <c r="F179" s="53" t="s">
        <v>12</v>
      </c>
      <c r="G179" s="54">
        <v>41071</v>
      </c>
      <c r="H179" s="53"/>
      <c r="I179" s="53">
        <v>873</v>
      </c>
      <c r="J179" s="39" t="s">
        <v>33</v>
      </c>
      <c r="K179" s="39" t="s">
        <v>965</v>
      </c>
      <c r="L179" s="39"/>
      <c r="M179" s="39"/>
      <c r="N179" s="39"/>
      <c r="O179" s="40"/>
    </row>
    <row r="180" spans="1:15" x14ac:dyDescent="0.55000000000000004">
      <c r="A180" s="24" t="str">
        <f>IF(COUNTIF(B180:$B$5014,B180)&gt;1,IF(COUNTIF($B$5:B180,B180)&gt;1,"",B180&amp;"-I"),B180)</f>
        <v/>
      </c>
      <c r="B180" s="29">
        <f t="shared" si="2"/>
        <v>939</v>
      </c>
      <c r="C180" s="36" t="s">
        <v>197</v>
      </c>
      <c r="D180" s="53">
        <v>288</v>
      </c>
      <c r="E180" s="53"/>
      <c r="F180" s="53" t="s">
        <v>11</v>
      </c>
      <c r="G180" s="54">
        <v>41079</v>
      </c>
      <c r="H180" s="53"/>
      <c r="I180" s="53">
        <v>939</v>
      </c>
      <c r="J180" s="39" t="s">
        <v>33</v>
      </c>
      <c r="K180" s="39" t="s">
        <v>965</v>
      </c>
      <c r="L180" s="39"/>
      <c r="M180" s="39"/>
      <c r="N180" s="39"/>
      <c r="O180" s="40"/>
    </row>
    <row r="181" spans="1:15" x14ac:dyDescent="0.55000000000000004">
      <c r="A181" s="24" t="str">
        <f>IF(COUNTIF(B181:$B$5014,B181)&gt;1,IF(COUNTIF($B$5:B181,B181)&gt;1,"",B181&amp;"-I"),B181)</f>
        <v/>
      </c>
      <c r="B181" s="29">
        <f t="shared" si="2"/>
        <v>890</v>
      </c>
      <c r="C181" s="36" t="s">
        <v>198</v>
      </c>
      <c r="D181" s="53">
        <v>289</v>
      </c>
      <c r="E181" s="53"/>
      <c r="F181" s="53" t="s">
        <v>11</v>
      </c>
      <c r="G181" s="54">
        <v>41083</v>
      </c>
      <c r="H181" s="53"/>
      <c r="I181" s="53">
        <v>890</v>
      </c>
      <c r="J181" s="39" t="s">
        <v>33</v>
      </c>
      <c r="K181" s="39" t="s">
        <v>965</v>
      </c>
      <c r="L181" s="39"/>
      <c r="M181" s="39"/>
      <c r="N181" s="39"/>
      <c r="O181" s="40"/>
    </row>
    <row r="182" spans="1:15" x14ac:dyDescent="0.55000000000000004">
      <c r="A182" s="24" t="str">
        <f>IF(COUNTIF(B182:$B$5014,B182)&gt;1,IF(COUNTIF($B$5:B182,B182)&gt;1,"",B182&amp;"-I"),B182)</f>
        <v/>
      </c>
      <c r="B182" s="29">
        <f t="shared" si="2"/>
        <v>882</v>
      </c>
      <c r="C182" s="36" t="s">
        <v>199</v>
      </c>
      <c r="D182" s="53">
        <v>290</v>
      </c>
      <c r="E182" s="53"/>
      <c r="F182" s="53" t="s">
        <v>11</v>
      </c>
      <c r="G182" s="54">
        <v>41087</v>
      </c>
      <c r="H182" s="53"/>
      <c r="I182" s="53">
        <v>882</v>
      </c>
      <c r="J182" s="39" t="s">
        <v>33</v>
      </c>
      <c r="K182" s="39" t="s">
        <v>965</v>
      </c>
      <c r="L182" s="39"/>
      <c r="M182" s="39"/>
      <c r="N182" s="39"/>
      <c r="O182" s="40"/>
    </row>
    <row r="183" spans="1:15" x14ac:dyDescent="0.55000000000000004">
      <c r="A183" s="24" t="str">
        <f>IF(COUNTIF(B183:$B$5014,B183)&gt;1,IF(COUNTIF($B$5:B183,B183)&gt;1,"",B183&amp;"-I"),B183)</f>
        <v/>
      </c>
      <c r="B183" s="29">
        <f t="shared" si="2"/>
        <v>931</v>
      </c>
      <c r="C183" s="36" t="s">
        <v>200</v>
      </c>
      <c r="D183" s="53">
        <v>291</v>
      </c>
      <c r="E183" s="53"/>
      <c r="F183" s="53" t="s">
        <v>11</v>
      </c>
      <c r="G183" s="54">
        <v>41099</v>
      </c>
      <c r="H183" s="53"/>
      <c r="I183" s="53">
        <v>931</v>
      </c>
      <c r="J183" s="39" t="s">
        <v>33</v>
      </c>
      <c r="K183" s="39" t="s">
        <v>965</v>
      </c>
      <c r="L183" s="39"/>
      <c r="M183" s="39"/>
      <c r="N183" s="39"/>
      <c r="O183" s="40"/>
    </row>
    <row r="184" spans="1:15" x14ac:dyDescent="0.55000000000000004">
      <c r="A184" s="24" t="str">
        <f>IF(COUNTIF(B184:$B$5014,B184)&gt;1,IF(COUNTIF($B$5:B184,B184)&gt;1,"",B184&amp;"-I"),B184)</f>
        <v/>
      </c>
      <c r="B184" s="29">
        <f t="shared" si="2"/>
        <v>870</v>
      </c>
      <c r="C184" s="36" t="s">
        <v>201</v>
      </c>
      <c r="D184" s="53">
        <v>295</v>
      </c>
      <c r="E184" s="53"/>
      <c r="F184" s="53" t="s">
        <v>12</v>
      </c>
      <c r="G184" s="54">
        <v>41102</v>
      </c>
      <c r="H184" s="53"/>
      <c r="I184" s="53">
        <v>870</v>
      </c>
      <c r="J184" s="39" t="s">
        <v>33</v>
      </c>
      <c r="K184" s="39" t="s">
        <v>965</v>
      </c>
      <c r="L184" s="39"/>
      <c r="M184" s="39"/>
      <c r="N184" s="39"/>
      <c r="O184" s="40"/>
    </row>
    <row r="185" spans="1:15" x14ac:dyDescent="0.55000000000000004">
      <c r="A185" s="24" t="str">
        <f>IF(COUNTIF(B185:$B$5014,B185)&gt;1,IF(COUNTIF($B$5:B185,B185)&gt;1,"",B185&amp;"-I"),B185)</f>
        <v/>
      </c>
      <c r="B185" s="29">
        <f t="shared" si="2"/>
        <v>928</v>
      </c>
      <c r="C185" s="36" t="s">
        <v>202</v>
      </c>
      <c r="D185" s="53">
        <v>295</v>
      </c>
      <c r="E185" s="53"/>
      <c r="F185" s="53" t="s">
        <v>12</v>
      </c>
      <c r="G185" s="54">
        <v>41105</v>
      </c>
      <c r="H185" s="53"/>
      <c r="I185" s="53">
        <v>928</v>
      </c>
      <c r="J185" s="39" t="s">
        <v>33</v>
      </c>
      <c r="K185" s="39" t="s">
        <v>965</v>
      </c>
      <c r="L185" s="39"/>
      <c r="M185" s="39"/>
      <c r="N185" s="39"/>
      <c r="O185" s="40"/>
    </row>
    <row r="186" spans="1:15" x14ac:dyDescent="0.55000000000000004">
      <c r="A186" s="24" t="str">
        <f>IF(COUNTIF(B186:$B$5014,B186)&gt;1,IF(COUNTIF($B$5:B186,B186)&gt;1,"",B186&amp;"-I"),B186)</f>
        <v/>
      </c>
      <c r="B186" s="29">
        <f t="shared" si="2"/>
        <v>862</v>
      </c>
      <c r="C186" s="36" t="s">
        <v>203</v>
      </c>
      <c r="D186" s="53">
        <v>297</v>
      </c>
      <c r="E186" s="53"/>
      <c r="F186" s="53" t="s">
        <v>12</v>
      </c>
      <c r="G186" s="54">
        <v>41106</v>
      </c>
      <c r="H186" s="53"/>
      <c r="I186" s="53">
        <v>862</v>
      </c>
      <c r="J186" s="39" t="s">
        <v>33</v>
      </c>
      <c r="K186" s="39" t="s">
        <v>965</v>
      </c>
      <c r="L186" s="39"/>
      <c r="M186" s="39"/>
      <c r="N186" s="39"/>
      <c r="O186" s="40"/>
    </row>
    <row r="187" spans="1:15" x14ac:dyDescent="0.55000000000000004">
      <c r="A187" s="24" t="str">
        <f>IF(COUNTIF(B187:$B$5014,B187)&gt;1,IF(COUNTIF($B$5:B187,B187)&gt;1,"",B187&amp;"-I"),B187)</f>
        <v/>
      </c>
      <c r="B187" s="29">
        <f t="shared" si="2"/>
        <v>893</v>
      </c>
      <c r="C187" s="36" t="s">
        <v>204</v>
      </c>
      <c r="D187" s="53">
        <v>299</v>
      </c>
      <c r="E187" s="53"/>
      <c r="F187" s="53" t="s">
        <v>12</v>
      </c>
      <c r="G187" s="54">
        <v>41113</v>
      </c>
      <c r="H187" s="53"/>
      <c r="I187" s="53">
        <v>893</v>
      </c>
      <c r="J187" s="39" t="s">
        <v>33</v>
      </c>
      <c r="K187" s="39" t="s">
        <v>965</v>
      </c>
      <c r="L187" s="39"/>
      <c r="M187" s="39"/>
      <c r="N187" s="39"/>
      <c r="O187" s="40"/>
    </row>
    <row r="188" spans="1:15" x14ac:dyDescent="0.55000000000000004">
      <c r="A188" s="24" t="str">
        <f>IF(COUNTIF(B188:$B$5014,B188)&gt;1,IF(COUNTIF($B$5:B188,B188)&gt;1,"",B188&amp;"-I"),B188)</f>
        <v/>
      </c>
      <c r="B188" s="29">
        <f t="shared" si="2"/>
        <v>898</v>
      </c>
      <c r="C188" s="36" t="s">
        <v>205</v>
      </c>
      <c r="D188" s="53">
        <v>301</v>
      </c>
      <c r="E188" s="53"/>
      <c r="F188" s="53" t="s">
        <v>11</v>
      </c>
      <c r="G188" s="54">
        <v>41113</v>
      </c>
      <c r="H188" s="53"/>
      <c r="I188" s="53">
        <v>898</v>
      </c>
      <c r="J188" s="39" t="s">
        <v>33</v>
      </c>
      <c r="K188" s="39" t="s">
        <v>965</v>
      </c>
      <c r="L188" s="39"/>
      <c r="M188" s="39"/>
      <c r="N188" s="39"/>
      <c r="O188" s="40"/>
    </row>
    <row r="189" spans="1:15" x14ac:dyDescent="0.55000000000000004">
      <c r="A189" s="24" t="str">
        <f>IF(COUNTIF(B189:$B$5014,B189)&gt;1,IF(COUNTIF($B$5:B189,B189)&gt;1,"",B189&amp;"-I"),B189)</f>
        <v/>
      </c>
      <c r="B189" s="29">
        <f t="shared" si="2"/>
        <v>858</v>
      </c>
      <c r="C189" s="36" t="s">
        <v>206</v>
      </c>
      <c r="D189" s="53">
        <v>303</v>
      </c>
      <c r="E189" s="53"/>
      <c r="F189" s="53" t="s">
        <v>11</v>
      </c>
      <c r="G189" s="54">
        <v>41117</v>
      </c>
      <c r="H189" s="53"/>
      <c r="I189" s="53">
        <v>858</v>
      </c>
      <c r="J189" s="39" t="s">
        <v>33</v>
      </c>
      <c r="K189" s="39" t="s">
        <v>965</v>
      </c>
      <c r="L189" s="39"/>
      <c r="M189" s="39"/>
      <c r="N189" s="39"/>
      <c r="O189" s="40"/>
    </row>
    <row r="190" spans="1:15" x14ac:dyDescent="0.55000000000000004">
      <c r="A190" s="24" t="str">
        <f>IF(COUNTIF(B190:$B$5014,B190)&gt;1,IF(COUNTIF($B$5:B190,B190)&gt;1,"",B190&amp;"-I"),B190)</f>
        <v/>
      </c>
      <c r="B190" s="29">
        <f t="shared" si="2"/>
        <v>947</v>
      </c>
      <c r="C190" s="36" t="s">
        <v>207</v>
      </c>
      <c r="D190" s="53">
        <v>304</v>
      </c>
      <c r="E190" s="53"/>
      <c r="F190" s="53" t="s">
        <v>11</v>
      </c>
      <c r="G190" s="54">
        <v>41115</v>
      </c>
      <c r="H190" s="53"/>
      <c r="I190" s="53">
        <v>947</v>
      </c>
      <c r="J190" s="39" t="s">
        <v>33</v>
      </c>
      <c r="K190" s="39" t="s">
        <v>965</v>
      </c>
      <c r="L190" s="39"/>
      <c r="M190" s="39"/>
      <c r="N190" s="39"/>
      <c r="O190" s="40"/>
    </row>
    <row r="191" spans="1:15" x14ac:dyDescent="0.55000000000000004">
      <c r="A191" s="24" t="str">
        <f>IF(COUNTIF(B191:$B$5014,B191)&gt;1,IF(COUNTIF($B$5:B191,B191)&gt;1,"",B191&amp;"-I"),B191)</f>
        <v/>
      </c>
      <c r="B191" s="29">
        <f t="shared" si="2"/>
        <v>930</v>
      </c>
      <c r="C191" s="36" t="s">
        <v>208</v>
      </c>
      <c r="D191" s="53">
        <v>305</v>
      </c>
      <c r="E191" s="53"/>
      <c r="F191" s="53" t="s">
        <v>11</v>
      </c>
      <c r="G191" s="54">
        <v>41122</v>
      </c>
      <c r="H191" s="53"/>
      <c r="I191" s="53">
        <v>930</v>
      </c>
      <c r="J191" s="39" t="s">
        <v>33</v>
      </c>
      <c r="K191" s="39" t="s">
        <v>965</v>
      </c>
      <c r="L191" s="39"/>
      <c r="M191" s="39"/>
      <c r="N191" s="39"/>
      <c r="O191" s="40"/>
    </row>
    <row r="192" spans="1:15" x14ac:dyDescent="0.55000000000000004">
      <c r="A192" s="24" t="str">
        <f>IF(COUNTIF(B192:$B$5014,B192)&gt;1,IF(COUNTIF($B$5:B192,B192)&gt;1,"",B192&amp;"-I"),B192)</f>
        <v/>
      </c>
      <c r="B192" s="29">
        <f t="shared" si="2"/>
        <v>934</v>
      </c>
      <c r="C192" s="36" t="s">
        <v>209</v>
      </c>
      <c r="D192" s="53">
        <v>306</v>
      </c>
      <c r="E192" s="53"/>
      <c r="F192" s="53" t="s">
        <v>11</v>
      </c>
      <c r="G192" s="54">
        <v>41123</v>
      </c>
      <c r="H192" s="53"/>
      <c r="I192" s="53">
        <v>934</v>
      </c>
      <c r="J192" s="39" t="s">
        <v>33</v>
      </c>
      <c r="K192" s="39" t="s">
        <v>965</v>
      </c>
      <c r="L192" s="39"/>
      <c r="M192" s="39"/>
      <c r="N192" s="39"/>
      <c r="O192" s="40"/>
    </row>
    <row r="193" spans="1:15" x14ac:dyDescent="0.55000000000000004">
      <c r="A193" s="24" t="str">
        <f>IF(COUNTIF(B193:$B$5014,B193)&gt;1,IF(COUNTIF($B$5:B193,B193)&gt;1,"",B193&amp;"-I"),B193)</f>
        <v/>
      </c>
      <c r="B193" s="29">
        <f t="shared" si="2"/>
        <v>894</v>
      </c>
      <c r="C193" s="36" t="s">
        <v>210</v>
      </c>
      <c r="D193" s="53">
        <v>307</v>
      </c>
      <c r="E193" s="53"/>
      <c r="F193" s="53" t="s">
        <v>11</v>
      </c>
      <c r="G193" s="54">
        <v>41124</v>
      </c>
      <c r="H193" s="53"/>
      <c r="I193" s="53">
        <v>894</v>
      </c>
      <c r="J193" s="39" t="s">
        <v>33</v>
      </c>
      <c r="K193" s="39" t="s">
        <v>965</v>
      </c>
      <c r="L193" s="39"/>
      <c r="M193" s="39"/>
      <c r="N193" s="39"/>
      <c r="O193" s="40"/>
    </row>
    <row r="194" spans="1:15" x14ac:dyDescent="0.55000000000000004">
      <c r="A194" s="24" t="str">
        <f>IF(COUNTIF(B194:$B$5014,B194)&gt;1,IF(COUNTIF($B$5:B194,B194)&gt;1,"",B194&amp;"-I"),B194)</f>
        <v/>
      </c>
      <c r="B194" s="29">
        <f t="shared" si="2"/>
        <v>875</v>
      </c>
      <c r="C194" s="36" t="s">
        <v>211</v>
      </c>
      <c r="D194" s="53">
        <v>310</v>
      </c>
      <c r="E194" s="53"/>
      <c r="F194" s="53" t="s">
        <v>12</v>
      </c>
      <c r="G194" s="54">
        <v>41139</v>
      </c>
      <c r="H194" s="53"/>
      <c r="I194" s="53">
        <v>875</v>
      </c>
      <c r="J194" s="39" t="s">
        <v>33</v>
      </c>
      <c r="K194" s="39" t="s">
        <v>965</v>
      </c>
      <c r="L194" s="39"/>
      <c r="M194" s="39"/>
      <c r="N194" s="39"/>
      <c r="O194" s="40"/>
    </row>
    <row r="195" spans="1:15" x14ac:dyDescent="0.55000000000000004">
      <c r="A195" s="24" t="str">
        <f>IF(COUNTIF(B195:$B$5014,B195)&gt;1,IF(COUNTIF($B$5:B195,B195)&gt;1,"",B195&amp;"-I"),B195)</f>
        <v/>
      </c>
      <c r="B195" s="29">
        <f t="shared" si="2"/>
        <v>869</v>
      </c>
      <c r="C195" s="36" t="s">
        <v>212</v>
      </c>
      <c r="D195" s="53">
        <v>313</v>
      </c>
      <c r="E195" s="53"/>
      <c r="F195" s="53" t="s">
        <v>12</v>
      </c>
      <c r="G195" s="54">
        <v>41151</v>
      </c>
      <c r="H195" s="53"/>
      <c r="I195" s="53">
        <v>869</v>
      </c>
      <c r="J195" s="39" t="s">
        <v>33</v>
      </c>
      <c r="K195" s="39" t="s">
        <v>965</v>
      </c>
      <c r="L195" s="39"/>
      <c r="M195" s="39"/>
      <c r="N195" s="39"/>
      <c r="O195" s="40"/>
    </row>
    <row r="196" spans="1:15" x14ac:dyDescent="0.55000000000000004">
      <c r="A196" s="24" t="str">
        <f>IF(COUNTIF(B196:$B$5014,B196)&gt;1,IF(COUNTIF($B$5:B196,B196)&gt;1,"",B196&amp;"-I"),B196)</f>
        <v/>
      </c>
      <c r="B196" s="29">
        <f t="shared" si="2"/>
        <v>854</v>
      </c>
      <c r="C196" s="36" t="s">
        <v>213</v>
      </c>
      <c r="D196" s="53">
        <v>316</v>
      </c>
      <c r="E196" s="53"/>
      <c r="F196" s="53" t="s">
        <v>11</v>
      </c>
      <c r="G196" s="54">
        <v>41160</v>
      </c>
      <c r="H196" s="53"/>
      <c r="I196" s="53">
        <v>854</v>
      </c>
      <c r="J196" s="39" t="s">
        <v>33</v>
      </c>
      <c r="K196" s="39" t="s">
        <v>965</v>
      </c>
      <c r="L196" s="39"/>
      <c r="M196" s="39"/>
      <c r="N196" s="39"/>
      <c r="O196" s="40"/>
    </row>
    <row r="197" spans="1:15" x14ac:dyDescent="0.55000000000000004">
      <c r="A197" s="24" t="str">
        <f>IF(COUNTIF(B197:$B$5014,B197)&gt;1,IF(COUNTIF($B$5:B197,B197)&gt;1,"",B197&amp;"-I"),B197)</f>
        <v/>
      </c>
      <c r="B197" s="29">
        <f t="shared" ref="B197:B260" si="3">+I197</f>
        <v>956</v>
      </c>
      <c r="C197" s="36" t="s">
        <v>214</v>
      </c>
      <c r="D197" s="53">
        <v>318</v>
      </c>
      <c r="E197" s="53"/>
      <c r="F197" s="53" t="s">
        <v>11</v>
      </c>
      <c r="G197" s="54">
        <v>41169</v>
      </c>
      <c r="H197" s="53"/>
      <c r="I197" s="53">
        <v>956</v>
      </c>
      <c r="J197" s="39" t="s">
        <v>33</v>
      </c>
      <c r="K197" s="39" t="s">
        <v>965</v>
      </c>
      <c r="L197" s="39"/>
      <c r="M197" s="39"/>
      <c r="N197" s="39"/>
      <c r="O197" s="40"/>
    </row>
    <row r="198" spans="1:15" x14ac:dyDescent="0.55000000000000004">
      <c r="A198" s="24" t="str">
        <f>IF(COUNTIF(B198:$B$5014,B198)&gt;1,IF(COUNTIF($B$5:B198,B198)&gt;1,"",B198&amp;"-I"),B198)</f>
        <v/>
      </c>
      <c r="B198" s="29">
        <f t="shared" si="3"/>
        <v>865</v>
      </c>
      <c r="C198" s="36" t="s">
        <v>215</v>
      </c>
      <c r="D198" s="53">
        <v>319</v>
      </c>
      <c r="E198" s="53"/>
      <c r="F198" s="53" t="s">
        <v>11</v>
      </c>
      <c r="G198" s="54">
        <v>41262</v>
      </c>
      <c r="H198" s="53"/>
      <c r="I198" s="53">
        <v>865</v>
      </c>
      <c r="J198" s="39" t="s">
        <v>33</v>
      </c>
      <c r="K198" s="39" t="s">
        <v>965</v>
      </c>
      <c r="L198" s="39"/>
      <c r="M198" s="39"/>
      <c r="N198" s="39"/>
      <c r="O198" s="40"/>
    </row>
    <row r="199" spans="1:15" x14ac:dyDescent="0.55000000000000004">
      <c r="A199" s="24" t="str">
        <f>IF(COUNTIF(B199:$B$5014,B199)&gt;1,IF(COUNTIF($B$5:B199,B199)&gt;1,"",B199&amp;"-I"),B199)</f>
        <v/>
      </c>
      <c r="B199" s="29">
        <f t="shared" si="3"/>
        <v>957</v>
      </c>
      <c r="C199" s="36" t="s">
        <v>216</v>
      </c>
      <c r="D199" s="53">
        <v>320</v>
      </c>
      <c r="E199" s="53"/>
      <c r="F199" s="53" t="s">
        <v>11</v>
      </c>
      <c r="G199" s="54">
        <v>41171</v>
      </c>
      <c r="H199" s="53"/>
      <c r="I199" s="53">
        <v>957</v>
      </c>
      <c r="J199" s="39" t="s">
        <v>33</v>
      </c>
      <c r="K199" s="39" t="s">
        <v>965</v>
      </c>
      <c r="L199" s="39"/>
      <c r="M199" s="39"/>
      <c r="N199" s="39"/>
      <c r="O199" s="40"/>
    </row>
    <row r="200" spans="1:15" x14ac:dyDescent="0.55000000000000004">
      <c r="A200" s="24" t="str">
        <f>IF(COUNTIF(B200:$B$5014,B200)&gt;1,IF(COUNTIF($B$5:B200,B200)&gt;1,"",B200&amp;"-I"),B200)</f>
        <v/>
      </c>
      <c r="B200" s="29">
        <f t="shared" si="3"/>
        <v>959</v>
      </c>
      <c r="C200" s="85" t="s">
        <v>217</v>
      </c>
      <c r="D200" s="72">
        <v>320</v>
      </c>
      <c r="E200" s="72" t="s">
        <v>833</v>
      </c>
      <c r="F200" s="72" t="s">
        <v>11</v>
      </c>
      <c r="G200" s="86">
        <v>41171</v>
      </c>
      <c r="H200" s="72" t="s">
        <v>845</v>
      </c>
      <c r="I200" s="72">
        <v>959</v>
      </c>
      <c r="J200" s="47" t="s">
        <v>33</v>
      </c>
      <c r="K200" s="47" t="s">
        <v>1167</v>
      </c>
      <c r="L200" s="39" t="s">
        <v>898</v>
      </c>
      <c r="M200" s="87">
        <v>43539</v>
      </c>
      <c r="N200" s="47">
        <v>26</v>
      </c>
      <c r="O200" s="50">
        <v>3900</v>
      </c>
    </row>
    <row r="201" spans="1:15" x14ac:dyDescent="0.55000000000000004">
      <c r="A201" s="24" t="str">
        <f>IF(COUNTIF(B201:$B$5014,B201)&gt;1,IF(COUNTIF($B$5:B201,B201)&gt;1,"",B201&amp;"-I"),B201)</f>
        <v/>
      </c>
      <c r="B201" s="29">
        <f t="shared" si="3"/>
        <v>867</v>
      </c>
      <c r="C201" s="36" t="s">
        <v>218</v>
      </c>
      <c r="D201" s="53">
        <v>323</v>
      </c>
      <c r="E201" s="53"/>
      <c r="F201" s="53" t="s">
        <v>11</v>
      </c>
      <c r="G201" s="54">
        <v>41177</v>
      </c>
      <c r="H201" s="53"/>
      <c r="I201" s="53">
        <v>867</v>
      </c>
      <c r="J201" s="39" t="s">
        <v>33</v>
      </c>
      <c r="K201" s="39" t="s">
        <v>965</v>
      </c>
      <c r="L201" s="39"/>
      <c r="M201" s="39"/>
      <c r="N201" s="39"/>
      <c r="O201" s="40"/>
    </row>
    <row r="202" spans="1:15" x14ac:dyDescent="0.55000000000000004">
      <c r="A202" s="24" t="str">
        <f>IF(COUNTIF(B202:$B$5014,B202)&gt;1,IF(COUNTIF($B$5:B202,B202)&gt;1,"",B202&amp;"-I"),B202)</f>
        <v/>
      </c>
      <c r="B202" s="29">
        <f t="shared" si="3"/>
        <v>876</v>
      </c>
      <c r="C202" s="36" t="s">
        <v>219</v>
      </c>
      <c r="D202" s="53">
        <v>325</v>
      </c>
      <c r="E202" s="53"/>
      <c r="F202" s="53" t="s">
        <v>12</v>
      </c>
      <c r="G202" s="54">
        <v>41186</v>
      </c>
      <c r="H202" s="53"/>
      <c r="I202" s="53">
        <v>876</v>
      </c>
      <c r="J202" s="39" t="s">
        <v>33</v>
      </c>
      <c r="K202" s="39" t="s">
        <v>965</v>
      </c>
      <c r="L202" s="39"/>
      <c r="M202" s="39"/>
      <c r="N202" s="39"/>
      <c r="O202" s="40"/>
    </row>
    <row r="203" spans="1:15" x14ac:dyDescent="0.55000000000000004">
      <c r="A203" s="24" t="str">
        <f>IF(COUNTIF(B203:$B$5014,B203)&gt;1,IF(COUNTIF($B$5:B203,B203)&gt;1,"",B203&amp;"-I"),B203)</f>
        <v/>
      </c>
      <c r="B203" s="29">
        <f t="shared" si="3"/>
        <v>885</v>
      </c>
      <c r="C203" s="85" t="s">
        <v>220</v>
      </c>
      <c r="D203" s="72">
        <v>326</v>
      </c>
      <c r="E203" s="53"/>
      <c r="F203" s="72" t="s">
        <v>12</v>
      </c>
      <c r="G203" s="86">
        <v>41187</v>
      </c>
      <c r="H203" s="53"/>
      <c r="I203" s="72">
        <v>885</v>
      </c>
      <c r="J203" s="47" t="s">
        <v>33</v>
      </c>
      <c r="K203" s="47" t="s">
        <v>1157</v>
      </c>
      <c r="L203" s="39" t="s">
        <v>852</v>
      </c>
      <c r="M203" s="47" t="s">
        <v>864</v>
      </c>
      <c r="N203" s="47" t="s">
        <v>864</v>
      </c>
      <c r="O203" s="50" t="s">
        <v>864</v>
      </c>
    </row>
    <row r="204" spans="1:15" x14ac:dyDescent="0.55000000000000004">
      <c r="A204" s="24" t="str">
        <f>IF(COUNTIF(B204:$B$5014,B204)&gt;1,IF(COUNTIF($B$5:B204,B204)&gt;1,"",B204&amp;"-I"),B204)</f>
        <v/>
      </c>
      <c r="B204" s="29">
        <f t="shared" si="3"/>
        <v>974</v>
      </c>
      <c r="C204" s="36" t="s">
        <v>221</v>
      </c>
      <c r="D204" s="53">
        <v>327</v>
      </c>
      <c r="E204" s="53"/>
      <c r="F204" s="53" t="s">
        <v>12</v>
      </c>
      <c r="G204" s="54">
        <v>41190</v>
      </c>
      <c r="H204" s="53"/>
      <c r="I204" s="23">
        <v>974</v>
      </c>
      <c r="J204" s="39" t="s">
        <v>33</v>
      </c>
      <c r="K204" s="39" t="s">
        <v>965</v>
      </c>
      <c r="L204" s="39"/>
      <c r="M204" s="39"/>
      <c r="N204" s="39"/>
      <c r="O204" s="40"/>
    </row>
    <row r="205" spans="1:15" x14ac:dyDescent="0.55000000000000004">
      <c r="A205" s="24" t="str">
        <f>IF(COUNTIF(B205:$B$5014,B205)&gt;1,IF(COUNTIF($B$5:B205,B205)&gt;1,"",B205&amp;"-I"),B205)</f>
        <v/>
      </c>
      <c r="B205" s="29">
        <f t="shared" si="3"/>
        <v>936</v>
      </c>
      <c r="C205" s="36" t="s">
        <v>222</v>
      </c>
      <c r="D205" s="53">
        <v>329</v>
      </c>
      <c r="E205" s="53"/>
      <c r="F205" s="53" t="s">
        <v>11</v>
      </c>
      <c r="G205" s="54">
        <v>41191</v>
      </c>
      <c r="H205" s="53"/>
      <c r="I205" s="53">
        <v>936</v>
      </c>
      <c r="J205" s="39" t="s">
        <v>33</v>
      </c>
      <c r="K205" s="39" t="s">
        <v>965</v>
      </c>
      <c r="L205" s="39"/>
      <c r="M205" s="39"/>
      <c r="N205" s="39"/>
      <c r="O205" s="40"/>
    </row>
    <row r="206" spans="1:15" x14ac:dyDescent="0.55000000000000004">
      <c r="A206" s="24" t="str">
        <f>IF(COUNTIF(B206:$B$5014,B206)&gt;1,IF(COUNTIF($B$5:B206,B206)&gt;1,"",B206&amp;"-I"),B206)</f>
        <v/>
      </c>
      <c r="B206" s="29">
        <f t="shared" si="3"/>
        <v>863</v>
      </c>
      <c r="C206" s="36" t="s">
        <v>223</v>
      </c>
      <c r="D206" s="53">
        <v>331</v>
      </c>
      <c r="E206" s="53"/>
      <c r="F206" s="53" t="s">
        <v>12</v>
      </c>
      <c r="G206" s="54">
        <v>41198</v>
      </c>
      <c r="H206" s="53"/>
      <c r="I206" s="53">
        <v>863</v>
      </c>
      <c r="J206" s="39" t="s">
        <v>33</v>
      </c>
      <c r="K206" s="39" t="s">
        <v>965</v>
      </c>
      <c r="L206" s="39"/>
      <c r="M206" s="39"/>
      <c r="N206" s="39"/>
      <c r="O206" s="40"/>
    </row>
    <row r="207" spans="1:15" x14ac:dyDescent="0.55000000000000004">
      <c r="A207" s="24" t="str">
        <f>IF(COUNTIF(B207:$B$5014,B207)&gt;1,IF(COUNTIF($B$5:B207,B207)&gt;1,"",B207&amp;"-I"),B207)</f>
        <v/>
      </c>
      <c r="B207" s="29">
        <f t="shared" si="3"/>
        <v>964</v>
      </c>
      <c r="C207" s="36" t="s">
        <v>224</v>
      </c>
      <c r="D207" s="53">
        <v>332</v>
      </c>
      <c r="E207" s="53"/>
      <c r="F207" s="53" t="s">
        <v>12</v>
      </c>
      <c r="G207" s="54">
        <v>41172</v>
      </c>
      <c r="H207" s="53"/>
      <c r="I207" s="53">
        <v>964</v>
      </c>
      <c r="J207" s="39" t="s">
        <v>33</v>
      </c>
      <c r="K207" s="39" t="s">
        <v>965</v>
      </c>
      <c r="L207" s="39"/>
      <c r="M207" s="39"/>
      <c r="N207" s="39"/>
      <c r="O207" s="40"/>
    </row>
    <row r="208" spans="1:15" x14ac:dyDescent="0.55000000000000004">
      <c r="A208" s="24" t="str">
        <f>IF(COUNTIF(B208:$B$5014,B208)&gt;1,IF(COUNTIF($B$5:B208,B208)&gt;1,"",B208&amp;"-I"),B208)</f>
        <v/>
      </c>
      <c r="B208" s="29">
        <f t="shared" si="3"/>
        <v>954</v>
      </c>
      <c r="C208" s="36" t="s">
        <v>225</v>
      </c>
      <c r="D208" s="53">
        <v>332</v>
      </c>
      <c r="E208" s="53"/>
      <c r="F208" s="53" t="s">
        <v>11</v>
      </c>
      <c r="G208" s="54">
        <v>41206</v>
      </c>
      <c r="H208" s="53"/>
      <c r="I208" s="53">
        <v>954</v>
      </c>
      <c r="J208" s="39" t="s">
        <v>33</v>
      </c>
      <c r="K208" s="39" t="s">
        <v>965</v>
      </c>
      <c r="L208" s="39"/>
      <c r="M208" s="39"/>
      <c r="N208" s="39"/>
      <c r="O208" s="40"/>
    </row>
    <row r="209" spans="1:15" x14ac:dyDescent="0.55000000000000004">
      <c r="A209" s="24" t="str">
        <f>IF(COUNTIF(B209:$B$5014,B209)&gt;1,IF(COUNTIF($B$5:B209,B209)&gt;1,"",B209&amp;"-I"),B209)</f>
        <v/>
      </c>
      <c r="B209" s="29">
        <f t="shared" si="3"/>
        <v>950</v>
      </c>
      <c r="C209" s="36" t="s">
        <v>226</v>
      </c>
      <c r="D209" s="53">
        <v>333</v>
      </c>
      <c r="E209" s="53"/>
      <c r="F209" s="53" t="s">
        <v>12</v>
      </c>
      <c r="G209" s="54">
        <v>41207</v>
      </c>
      <c r="H209" s="53"/>
      <c r="I209" s="53">
        <v>950</v>
      </c>
      <c r="J209" s="39" t="s">
        <v>33</v>
      </c>
      <c r="K209" s="39" t="s">
        <v>965</v>
      </c>
      <c r="L209" s="39"/>
      <c r="M209" s="39"/>
      <c r="N209" s="39"/>
      <c r="O209" s="40"/>
    </row>
    <row r="210" spans="1:15" x14ac:dyDescent="0.55000000000000004">
      <c r="A210" s="24" t="str">
        <f>IF(COUNTIF(B210:$B$5014,B210)&gt;1,IF(COUNTIF($B$5:B210,B210)&gt;1,"",B210&amp;"-I"),B210)</f>
        <v/>
      </c>
      <c r="B210" s="29">
        <f t="shared" si="3"/>
        <v>946</v>
      </c>
      <c r="C210" s="36" t="s">
        <v>227</v>
      </c>
      <c r="D210" s="53">
        <v>334</v>
      </c>
      <c r="E210" s="53"/>
      <c r="F210" s="53" t="s">
        <v>12</v>
      </c>
      <c r="G210" s="54">
        <v>41214</v>
      </c>
      <c r="H210" s="53"/>
      <c r="I210" s="53">
        <v>946</v>
      </c>
      <c r="J210" s="39" t="s">
        <v>33</v>
      </c>
      <c r="K210" s="39" t="s">
        <v>965</v>
      </c>
      <c r="L210" s="39"/>
      <c r="M210" s="39"/>
      <c r="N210" s="39"/>
      <c r="O210" s="40"/>
    </row>
    <row r="211" spans="1:15" x14ac:dyDescent="0.55000000000000004">
      <c r="A211" s="24" t="str">
        <f>IF(COUNTIF(B211:$B$5014,B211)&gt;1,IF(COUNTIF($B$5:B211,B211)&gt;1,"",B211&amp;"-I"),B211)</f>
        <v/>
      </c>
      <c r="B211" s="29">
        <f t="shared" si="3"/>
        <v>860</v>
      </c>
      <c r="C211" s="36" t="s">
        <v>228</v>
      </c>
      <c r="D211" s="53">
        <v>336</v>
      </c>
      <c r="E211" s="53"/>
      <c r="F211" s="53" t="s">
        <v>12</v>
      </c>
      <c r="G211" s="54">
        <v>41217</v>
      </c>
      <c r="H211" s="53"/>
      <c r="I211" s="53">
        <v>860</v>
      </c>
      <c r="J211" s="39" t="s">
        <v>33</v>
      </c>
      <c r="K211" s="39" t="s">
        <v>965</v>
      </c>
      <c r="L211" s="39"/>
      <c r="M211" s="39"/>
      <c r="N211" s="39"/>
      <c r="O211" s="40"/>
    </row>
    <row r="212" spans="1:15" x14ac:dyDescent="0.55000000000000004">
      <c r="A212" s="24" t="str">
        <f>IF(COUNTIF(B212:$B$5014,B212)&gt;1,IF(COUNTIF($B$5:B212,B212)&gt;1,"",B212&amp;"-I"),B212)</f>
        <v/>
      </c>
      <c r="B212" s="29">
        <f t="shared" si="3"/>
        <v>973</v>
      </c>
      <c r="C212" s="36" t="s">
        <v>229</v>
      </c>
      <c r="D212" s="53">
        <v>337</v>
      </c>
      <c r="E212" s="53"/>
      <c r="F212" s="53" t="s">
        <v>12</v>
      </c>
      <c r="G212" s="54">
        <v>41218</v>
      </c>
      <c r="H212" s="53"/>
      <c r="I212" s="53">
        <v>973</v>
      </c>
      <c r="J212" s="39" t="s">
        <v>33</v>
      </c>
      <c r="K212" s="39" t="s">
        <v>965</v>
      </c>
      <c r="L212" s="39"/>
      <c r="M212" s="39"/>
      <c r="N212" s="39"/>
      <c r="O212" s="40"/>
    </row>
    <row r="213" spans="1:15" x14ac:dyDescent="0.55000000000000004">
      <c r="A213" s="24" t="str">
        <f>IF(COUNTIF(B213:$B$5014,B213)&gt;1,IF(COUNTIF($B$5:B213,B213)&gt;1,"",B213&amp;"-I"),B213)</f>
        <v/>
      </c>
      <c r="B213" s="29">
        <f t="shared" si="3"/>
        <v>967</v>
      </c>
      <c r="C213" s="36" t="s">
        <v>230</v>
      </c>
      <c r="D213" s="53">
        <v>339</v>
      </c>
      <c r="E213" s="53"/>
      <c r="F213" s="53" t="s">
        <v>11</v>
      </c>
      <c r="G213" s="54">
        <v>41227</v>
      </c>
      <c r="H213" s="53"/>
      <c r="I213" s="53">
        <v>967</v>
      </c>
      <c r="J213" s="39" t="s">
        <v>33</v>
      </c>
      <c r="K213" s="39" t="s">
        <v>965</v>
      </c>
      <c r="L213" s="39"/>
      <c r="M213" s="39"/>
      <c r="N213" s="39"/>
      <c r="O213" s="40"/>
    </row>
    <row r="214" spans="1:15" x14ac:dyDescent="0.55000000000000004">
      <c r="A214" s="24" t="str">
        <f>IF(COUNTIF(B214:$B$5014,B214)&gt;1,IF(COUNTIF($B$5:B214,B214)&gt;1,"",B214&amp;"-I"),B214)</f>
        <v/>
      </c>
      <c r="B214" s="29">
        <f t="shared" si="3"/>
        <v>933</v>
      </c>
      <c r="C214" s="36" t="s">
        <v>231</v>
      </c>
      <c r="D214" s="53">
        <v>340</v>
      </c>
      <c r="E214" s="53"/>
      <c r="F214" s="53" t="s">
        <v>12</v>
      </c>
      <c r="G214" s="54">
        <v>41228</v>
      </c>
      <c r="H214" s="53"/>
      <c r="I214" s="53">
        <v>933</v>
      </c>
      <c r="J214" s="39" t="s">
        <v>33</v>
      </c>
      <c r="K214" s="39" t="s">
        <v>965</v>
      </c>
      <c r="L214" s="39"/>
      <c r="M214" s="39"/>
      <c r="N214" s="39"/>
      <c r="O214" s="40"/>
    </row>
    <row r="215" spans="1:15" x14ac:dyDescent="0.55000000000000004">
      <c r="A215" s="24" t="str">
        <f>IF(COUNTIF(B215:$B$5014,B215)&gt;1,IF(COUNTIF($B$5:B215,B215)&gt;1,"",B215&amp;"-I"),B215)</f>
        <v/>
      </c>
      <c r="B215" s="29">
        <f t="shared" si="3"/>
        <v>889</v>
      </c>
      <c r="C215" s="36" t="s">
        <v>232</v>
      </c>
      <c r="D215" s="53">
        <v>341</v>
      </c>
      <c r="E215" s="53"/>
      <c r="F215" s="53" t="s">
        <v>11</v>
      </c>
      <c r="G215" s="54">
        <v>41232</v>
      </c>
      <c r="H215" s="53"/>
      <c r="I215" s="53">
        <v>889</v>
      </c>
      <c r="J215" s="39" t="s">
        <v>33</v>
      </c>
      <c r="K215" s="39" t="s">
        <v>965</v>
      </c>
      <c r="L215" s="39"/>
      <c r="M215" s="39"/>
      <c r="N215" s="39"/>
      <c r="O215" s="40"/>
    </row>
    <row r="216" spans="1:15" x14ac:dyDescent="0.55000000000000004">
      <c r="A216" s="24" t="str">
        <f>IF(COUNTIF(B216:$B$5014,B216)&gt;1,IF(COUNTIF($B$5:B216,B216)&gt;1,"",B216&amp;"-I"),B216)</f>
        <v/>
      </c>
      <c r="B216" s="29">
        <f t="shared" si="3"/>
        <v>969</v>
      </c>
      <c r="C216" s="36" t="s">
        <v>233</v>
      </c>
      <c r="D216" s="53">
        <v>342</v>
      </c>
      <c r="E216" s="53"/>
      <c r="F216" s="53" t="s">
        <v>12</v>
      </c>
      <c r="G216" s="54">
        <v>41241</v>
      </c>
      <c r="H216" s="53"/>
      <c r="I216" s="53">
        <v>969</v>
      </c>
      <c r="J216" s="39" t="s">
        <v>33</v>
      </c>
      <c r="K216" s="39" t="s">
        <v>965</v>
      </c>
      <c r="L216" s="39"/>
      <c r="M216" s="39"/>
      <c r="N216" s="39"/>
      <c r="O216" s="40"/>
    </row>
    <row r="217" spans="1:15" x14ac:dyDescent="0.55000000000000004">
      <c r="A217" s="24" t="str">
        <f>IF(COUNTIF(B217:$B$5014,B217)&gt;1,IF(COUNTIF($B$5:B217,B217)&gt;1,"",B217&amp;"-I"),B217)</f>
        <v/>
      </c>
      <c r="B217" s="29">
        <f t="shared" si="3"/>
        <v>965</v>
      </c>
      <c r="C217" s="36" t="s">
        <v>234</v>
      </c>
      <c r="D217" s="53">
        <v>344</v>
      </c>
      <c r="E217" s="53"/>
      <c r="F217" s="53" t="s">
        <v>12</v>
      </c>
      <c r="G217" s="54">
        <v>41238</v>
      </c>
      <c r="H217" s="53"/>
      <c r="I217" s="53">
        <v>965</v>
      </c>
      <c r="J217" s="39" t="s">
        <v>33</v>
      </c>
      <c r="K217" s="39" t="s">
        <v>965</v>
      </c>
      <c r="L217" s="39"/>
      <c r="M217" s="39"/>
      <c r="N217" s="39"/>
      <c r="O217" s="40"/>
    </row>
    <row r="218" spans="1:15" x14ac:dyDescent="0.55000000000000004">
      <c r="A218" s="24" t="str">
        <f>IF(COUNTIF(B218:$B$5014,B218)&gt;1,IF(COUNTIF($B$5:B218,B218)&gt;1,"",B218&amp;"-I"),B218)</f>
        <v/>
      </c>
      <c r="B218" s="29">
        <f t="shared" si="3"/>
        <v>949</v>
      </c>
      <c r="C218" s="36" t="s">
        <v>235</v>
      </c>
      <c r="D218" s="53">
        <v>345</v>
      </c>
      <c r="E218" s="53"/>
      <c r="F218" s="53" t="s">
        <v>12</v>
      </c>
      <c r="G218" s="54">
        <v>41246</v>
      </c>
      <c r="H218" s="53"/>
      <c r="I218" s="53">
        <v>949</v>
      </c>
      <c r="J218" s="39" t="s">
        <v>33</v>
      </c>
      <c r="K218" s="39" t="s">
        <v>965</v>
      </c>
      <c r="L218" s="39"/>
      <c r="M218" s="39"/>
      <c r="N218" s="39"/>
      <c r="O218" s="40"/>
    </row>
    <row r="219" spans="1:15" x14ac:dyDescent="0.55000000000000004">
      <c r="A219" s="24" t="str">
        <f>IF(COUNTIF(B219:$B$5014,B219)&gt;1,IF(COUNTIF($B$5:B219,B219)&gt;1,"",B219&amp;"-I"),B219)</f>
        <v/>
      </c>
      <c r="B219" s="29">
        <f t="shared" si="3"/>
        <v>859</v>
      </c>
      <c r="C219" s="36" t="s">
        <v>236</v>
      </c>
      <c r="D219" s="53">
        <v>346</v>
      </c>
      <c r="E219" s="53"/>
      <c r="F219" s="53" t="s">
        <v>12</v>
      </c>
      <c r="G219" s="54">
        <v>41249</v>
      </c>
      <c r="H219" s="53"/>
      <c r="I219" s="53">
        <v>859</v>
      </c>
      <c r="J219" s="39" t="s">
        <v>33</v>
      </c>
      <c r="K219" s="39" t="s">
        <v>965</v>
      </c>
      <c r="L219" s="39"/>
      <c r="M219" s="39"/>
      <c r="N219" s="39"/>
      <c r="O219" s="40"/>
    </row>
    <row r="220" spans="1:15" x14ac:dyDescent="0.55000000000000004">
      <c r="A220" s="24" t="str">
        <f>IF(COUNTIF(B220:$B$5014,B220)&gt;1,IF(COUNTIF($B$5:B220,B220)&gt;1,"",B220&amp;"-I"),B220)</f>
        <v/>
      </c>
      <c r="B220" s="29">
        <f t="shared" si="3"/>
        <v>872</v>
      </c>
      <c r="C220" s="36" t="s">
        <v>237</v>
      </c>
      <c r="D220" s="53">
        <v>347</v>
      </c>
      <c r="E220" s="53"/>
      <c r="F220" s="53" t="s">
        <v>11</v>
      </c>
      <c r="G220" s="54">
        <v>41254</v>
      </c>
      <c r="H220" s="53"/>
      <c r="I220" s="53">
        <v>872</v>
      </c>
      <c r="J220" s="39" t="s">
        <v>33</v>
      </c>
      <c r="K220" s="39" t="s">
        <v>965</v>
      </c>
      <c r="L220" s="39"/>
      <c r="M220" s="39"/>
      <c r="N220" s="39"/>
      <c r="O220" s="40"/>
    </row>
    <row r="221" spans="1:15" x14ac:dyDescent="0.55000000000000004">
      <c r="A221" s="24" t="str">
        <f>IF(COUNTIF(B221:$B$5014,B221)&gt;1,IF(COUNTIF($B$5:B221,B221)&gt;1,"",B221&amp;"-I"),B221)</f>
        <v/>
      </c>
      <c r="B221" s="29">
        <f t="shared" si="3"/>
        <v>881</v>
      </c>
      <c r="C221" s="36" t="s">
        <v>238</v>
      </c>
      <c r="D221" s="53">
        <v>350</v>
      </c>
      <c r="E221" s="53"/>
      <c r="F221" s="53" t="s">
        <v>11</v>
      </c>
      <c r="G221" s="54">
        <v>41264</v>
      </c>
      <c r="H221" s="53"/>
      <c r="I221" s="53">
        <v>881</v>
      </c>
      <c r="J221" s="39" t="s">
        <v>33</v>
      </c>
      <c r="K221" s="39" t="s">
        <v>965</v>
      </c>
      <c r="L221" s="39"/>
      <c r="M221" s="39"/>
      <c r="N221" s="39"/>
      <c r="O221" s="40"/>
    </row>
    <row r="222" spans="1:15" x14ac:dyDescent="0.55000000000000004">
      <c r="A222" s="24" t="str">
        <f>IF(COUNTIF(B222:$B$5014,B222)&gt;1,IF(COUNTIF($B$5:B222,B222)&gt;1,"",B222&amp;"-I"),B222)</f>
        <v/>
      </c>
      <c r="B222" s="29">
        <f t="shared" si="3"/>
        <v>874</v>
      </c>
      <c r="C222" s="36" t="s">
        <v>239</v>
      </c>
      <c r="D222" s="53">
        <v>351</v>
      </c>
      <c r="E222" s="53"/>
      <c r="F222" s="53" t="s">
        <v>12</v>
      </c>
      <c r="G222" s="54">
        <v>41271</v>
      </c>
      <c r="H222" s="53"/>
      <c r="I222" s="53">
        <v>874</v>
      </c>
      <c r="J222" s="39" t="s">
        <v>33</v>
      </c>
      <c r="K222" s="39" t="s">
        <v>965</v>
      </c>
      <c r="L222" s="39"/>
      <c r="M222" s="39"/>
      <c r="N222" s="39"/>
      <c r="O222" s="40"/>
    </row>
    <row r="223" spans="1:15" x14ac:dyDescent="0.55000000000000004">
      <c r="A223" s="24" t="str">
        <f>IF(COUNTIF(B223:$B$5014,B223)&gt;1,IF(COUNTIF($B$5:B223,B223)&gt;1,"",B223&amp;"-I"),B223)</f>
        <v/>
      </c>
      <c r="B223" s="29">
        <f t="shared" si="3"/>
        <v>886</v>
      </c>
      <c r="C223" s="36" t="s">
        <v>240</v>
      </c>
      <c r="D223" s="53">
        <v>352</v>
      </c>
      <c r="E223" s="53"/>
      <c r="F223" s="53" t="s">
        <v>11</v>
      </c>
      <c r="G223" s="54">
        <v>41272</v>
      </c>
      <c r="H223" s="53"/>
      <c r="I223" s="53">
        <v>886</v>
      </c>
      <c r="J223" s="39" t="s">
        <v>33</v>
      </c>
      <c r="K223" s="39" t="s">
        <v>965</v>
      </c>
      <c r="L223" s="39"/>
      <c r="M223" s="39"/>
      <c r="N223" s="39"/>
      <c r="O223" s="40"/>
    </row>
    <row r="224" spans="1:15" x14ac:dyDescent="0.55000000000000004">
      <c r="A224" s="24" t="str">
        <f>IF(COUNTIF(B224:$B$5014,B224)&gt;1,IF(COUNTIF($B$5:B224,B224)&gt;1,"",B224&amp;"-I"),B224)</f>
        <v/>
      </c>
      <c r="B224" s="29">
        <f t="shared" si="3"/>
        <v>926</v>
      </c>
      <c r="C224" s="36" t="s">
        <v>241</v>
      </c>
      <c r="D224" s="53">
        <v>353</v>
      </c>
      <c r="E224" s="53"/>
      <c r="F224" s="53" t="s">
        <v>11</v>
      </c>
      <c r="G224" s="54">
        <v>41274</v>
      </c>
      <c r="H224" s="53"/>
      <c r="I224" s="53">
        <v>926</v>
      </c>
      <c r="J224" s="39" t="s">
        <v>33</v>
      </c>
      <c r="K224" s="39" t="s">
        <v>965</v>
      </c>
      <c r="L224" s="39"/>
      <c r="M224" s="39"/>
      <c r="N224" s="39"/>
      <c r="O224" s="40"/>
    </row>
    <row r="225" spans="1:15" x14ac:dyDescent="0.55000000000000004">
      <c r="A225" s="24" t="str">
        <f>IF(COUNTIF(B225:$B$5014,B225)&gt;1,IF(COUNTIF($B$5:B225,B225)&gt;1,"",B225&amp;"-I"),B225)</f>
        <v/>
      </c>
      <c r="B225" s="29">
        <f t="shared" si="3"/>
        <v>896</v>
      </c>
      <c r="C225" s="85" t="s">
        <v>242</v>
      </c>
      <c r="D225" s="72" t="s">
        <v>13</v>
      </c>
      <c r="E225" s="53"/>
      <c r="F225" s="72" t="s">
        <v>12</v>
      </c>
      <c r="G225" s="86">
        <v>41061</v>
      </c>
      <c r="H225" s="53"/>
      <c r="I225" s="72">
        <v>896</v>
      </c>
      <c r="J225" s="47" t="s">
        <v>33</v>
      </c>
      <c r="K225" s="47" t="s">
        <v>1157</v>
      </c>
      <c r="L225" s="39" t="s">
        <v>847</v>
      </c>
      <c r="M225" s="47" t="s">
        <v>864</v>
      </c>
      <c r="N225" s="47" t="s">
        <v>864</v>
      </c>
      <c r="O225" s="50" t="s">
        <v>864</v>
      </c>
    </row>
    <row r="226" spans="1:15" x14ac:dyDescent="0.55000000000000004">
      <c r="A226" s="24" t="str">
        <f>IF(COUNTIF(B226:$B$5014,B226)&gt;1,IF(COUNTIF($B$5:B226,B226)&gt;1,"",B226&amp;"-I"),B226)</f>
        <v/>
      </c>
      <c r="B226" s="29">
        <f t="shared" si="3"/>
        <v>963</v>
      </c>
      <c r="C226" s="85" t="s">
        <v>243</v>
      </c>
      <c r="D226" s="72">
        <v>465</v>
      </c>
      <c r="E226" s="72" t="s">
        <v>834</v>
      </c>
      <c r="F226" s="72" t="s">
        <v>12</v>
      </c>
      <c r="G226" s="86">
        <v>41235</v>
      </c>
      <c r="H226" s="72">
        <v>1043</v>
      </c>
      <c r="I226" s="72">
        <v>963</v>
      </c>
      <c r="J226" s="47" t="s">
        <v>33</v>
      </c>
      <c r="K226" s="47" t="s">
        <v>836</v>
      </c>
      <c r="L226" s="47"/>
      <c r="M226" s="87">
        <v>42325</v>
      </c>
      <c r="N226" s="47">
        <v>5.32</v>
      </c>
      <c r="O226" s="50">
        <v>984</v>
      </c>
    </row>
    <row r="227" spans="1:15" x14ac:dyDescent="0.55000000000000004">
      <c r="A227" s="24" t="str">
        <f>IF(COUNTIF(B227:$B$5014,B227)&gt;1,IF(COUNTIF($B$5:B227,B227)&gt;1,"",B227&amp;"-I"),B227)</f>
        <v>966-I</v>
      </c>
      <c r="B227" s="29">
        <f t="shared" si="3"/>
        <v>966</v>
      </c>
      <c r="C227" s="36" t="s">
        <v>244</v>
      </c>
      <c r="D227" s="53" t="s">
        <v>13</v>
      </c>
      <c r="E227" s="53"/>
      <c r="F227" s="53" t="s">
        <v>12</v>
      </c>
      <c r="G227" s="54">
        <v>41038</v>
      </c>
      <c r="H227" s="53"/>
      <c r="I227" s="53">
        <v>966</v>
      </c>
      <c r="J227" s="39" t="s">
        <v>33</v>
      </c>
      <c r="K227" s="39" t="s">
        <v>965</v>
      </c>
      <c r="L227" s="39"/>
      <c r="M227" s="39"/>
      <c r="N227" s="39"/>
      <c r="O227" s="40"/>
    </row>
    <row r="228" spans="1:15" x14ac:dyDescent="0.55000000000000004">
      <c r="A228" s="24" t="str">
        <f>IF(COUNTIF(B228:$B$5014,B228)&gt;1,IF(COUNTIF($B$5:B228,B228)&gt;1,"",B228&amp;"-I"),B228)</f>
        <v/>
      </c>
      <c r="B228" s="29">
        <f t="shared" si="3"/>
        <v>945</v>
      </c>
      <c r="C228" s="85" t="s">
        <v>245</v>
      </c>
      <c r="D228" s="72" t="s">
        <v>13</v>
      </c>
      <c r="E228" s="53"/>
      <c r="F228" s="72" t="s">
        <v>12</v>
      </c>
      <c r="G228" s="86">
        <v>41201</v>
      </c>
      <c r="H228" s="53"/>
      <c r="I228" s="72">
        <v>945</v>
      </c>
      <c r="J228" s="47" t="s">
        <v>33</v>
      </c>
      <c r="K228" s="47" t="s">
        <v>1166</v>
      </c>
      <c r="L228" s="47" t="s">
        <v>846</v>
      </c>
      <c r="M228" s="47"/>
      <c r="N228" s="47"/>
      <c r="O228" s="50"/>
    </row>
    <row r="229" spans="1:15" x14ac:dyDescent="0.55000000000000004">
      <c r="A229" s="24" t="str">
        <f>IF(COUNTIF(B229:$B$5014,B229)&gt;1,IF(COUNTIF($B$5:B229,B229)&gt;1,"",B229&amp;"-I"),B229)</f>
        <v/>
      </c>
      <c r="B229" s="29">
        <f t="shared" si="3"/>
        <v>882</v>
      </c>
      <c r="C229" s="36" t="s">
        <v>246</v>
      </c>
      <c r="D229" s="53">
        <v>279</v>
      </c>
      <c r="E229" s="53"/>
      <c r="F229" s="53" t="s">
        <v>12</v>
      </c>
      <c r="G229" s="54">
        <v>41451</v>
      </c>
      <c r="H229" s="53"/>
      <c r="I229" s="53">
        <v>882</v>
      </c>
      <c r="J229" s="39" t="s">
        <v>33</v>
      </c>
      <c r="K229" s="39" t="s">
        <v>965</v>
      </c>
      <c r="L229" s="39"/>
      <c r="M229" s="39"/>
      <c r="N229" s="39"/>
      <c r="O229" s="40"/>
    </row>
    <row r="230" spans="1:15" x14ac:dyDescent="0.55000000000000004">
      <c r="A230" s="24" t="str">
        <f>IF(COUNTIF(B230:$B$5014,B230)&gt;1,IF(COUNTIF($B$5:B230,B230)&gt;1,"",B230&amp;"-I"),B230)</f>
        <v/>
      </c>
      <c r="B230" s="29">
        <f t="shared" si="3"/>
        <v>944</v>
      </c>
      <c r="C230" s="36" t="s">
        <v>247</v>
      </c>
      <c r="D230" s="53">
        <v>354</v>
      </c>
      <c r="E230" s="53"/>
      <c r="F230" s="53" t="s">
        <v>11</v>
      </c>
      <c r="G230" s="54">
        <v>41275</v>
      </c>
      <c r="H230" s="53"/>
      <c r="I230" s="53">
        <v>944</v>
      </c>
      <c r="J230" s="39" t="s">
        <v>33</v>
      </c>
      <c r="K230" s="39" t="s">
        <v>965</v>
      </c>
      <c r="L230" s="39"/>
      <c r="M230" s="39"/>
      <c r="N230" s="39"/>
      <c r="O230" s="40"/>
    </row>
    <row r="231" spans="1:15" x14ac:dyDescent="0.55000000000000004">
      <c r="A231" s="24" t="str">
        <f>IF(COUNTIF(B231:$B$5014,B231)&gt;1,IF(COUNTIF($B$5:B231,B231)&gt;1,"",B231&amp;"-I"),B231)</f>
        <v/>
      </c>
      <c r="B231" s="29">
        <f t="shared" si="3"/>
        <v>900</v>
      </c>
      <c r="C231" s="36" t="s">
        <v>248</v>
      </c>
      <c r="D231" s="53">
        <v>356</v>
      </c>
      <c r="E231" s="53"/>
      <c r="F231" s="53" t="s">
        <v>12</v>
      </c>
      <c r="G231" s="54">
        <v>41584</v>
      </c>
      <c r="H231" s="53"/>
      <c r="I231" s="53">
        <v>900</v>
      </c>
      <c r="J231" s="39" t="s">
        <v>33</v>
      </c>
      <c r="K231" s="39" t="s">
        <v>965</v>
      </c>
      <c r="L231" s="39"/>
      <c r="M231" s="39"/>
      <c r="N231" s="39"/>
      <c r="O231" s="40"/>
    </row>
    <row r="232" spans="1:15" x14ac:dyDescent="0.55000000000000004">
      <c r="A232" s="24" t="str">
        <f>IF(COUNTIF(B232:$B$5014,B232)&gt;1,IF(COUNTIF($B$5:B232,B232)&gt;1,"",B232&amp;"-I"),B232)</f>
        <v/>
      </c>
      <c r="B232" s="29">
        <f t="shared" si="3"/>
        <v>929</v>
      </c>
      <c r="C232" s="36">
        <v>508</v>
      </c>
      <c r="D232" s="53">
        <v>357</v>
      </c>
      <c r="E232" s="53"/>
      <c r="F232" s="53" t="s">
        <v>11</v>
      </c>
      <c r="G232" s="54">
        <v>41281</v>
      </c>
      <c r="H232" s="53"/>
      <c r="I232" s="53">
        <v>929</v>
      </c>
      <c r="J232" s="39" t="s">
        <v>33</v>
      </c>
      <c r="K232" s="39" t="s">
        <v>965</v>
      </c>
      <c r="L232" s="39"/>
      <c r="M232" s="39"/>
      <c r="N232" s="39"/>
      <c r="O232" s="40"/>
    </row>
    <row r="233" spans="1:15" x14ac:dyDescent="0.55000000000000004">
      <c r="A233" s="24" t="str">
        <f>IF(COUNTIF(B233:$B$5014,B233)&gt;1,IF(COUNTIF($B$5:B233,B233)&gt;1,"",B233&amp;"-I"),B233)</f>
        <v/>
      </c>
      <c r="B233" s="29">
        <f t="shared" si="3"/>
        <v>942</v>
      </c>
      <c r="C233" s="36" t="s">
        <v>249</v>
      </c>
      <c r="D233" s="53">
        <v>358</v>
      </c>
      <c r="E233" s="53"/>
      <c r="F233" s="53" t="s">
        <v>11</v>
      </c>
      <c r="G233" s="54">
        <v>41291</v>
      </c>
      <c r="H233" s="53"/>
      <c r="I233" s="53">
        <v>942</v>
      </c>
      <c r="J233" s="39" t="s">
        <v>33</v>
      </c>
      <c r="K233" s="39" t="s">
        <v>965</v>
      </c>
      <c r="L233" s="39"/>
      <c r="M233" s="39"/>
      <c r="N233" s="39"/>
      <c r="O233" s="40"/>
    </row>
    <row r="234" spans="1:15" x14ac:dyDescent="0.55000000000000004">
      <c r="A234" s="24" t="str">
        <f>IF(COUNTIF(B234:$B$5014,B234)&gt;1,IF(COUNTIF($B$5:B234,B234)&gt;1,"",B234&amp;"-I"),B234)</f>
        <v/>
      </c>
      <c r="B234" s="29">
        <f t="shared" si="3"/>
        <v>963</v>
      </c>
      <c r="C234" s="36" t="s">
        <v>250</v>
      </c>
      <c r="D234" s="53">
        <v>359</v>
      </c>
      <c r="E234" s="53"/>
      <c r="F234" s="53" t="s">
        <v>12</v>
      </c>
      <c r="G234" s="54">
        <v>41313</v>
      </c>
      <c r="H234" s="53"/>
      <c r="I234" s="53">
        <v>963</v>
      </c>
      <c r="J234" s="39" t="s">
        <v>33</v>
      </c>
      <c r="K234" s="39" t="s">
        <v>965</v>
      </c>
      <c r="L234" s="39"/>
      <c r="M234" s="39"/>
      <c r="N234" s="39"/>
      <c r="O234" s="40"/>
    </row>
    <row r="235" spans="1:15" x14ac:dyDescent="0.55000000000000004">
      <c r="A235" s="24" t="str">
        <f>IF(COUNTIF(B235:$B$5014,B235)&gt;1,IF(COUNTIF($B$5:B235,B235)&gt;1,"",B235&amp;"-I"),B235)</f>
        <v/>
      </c>
      <c r="B235" s="29">
        <f t="shared" si="3"/>
        <v>877</v>
      </c>
      <c r="C235" s="36" t="s">
        <v>251</v>
      </c>
      <c r="D235" s="53">
        <v>360</v>
      </c>
      <c r="E235" s="53"/>
      <c r="F235" s="53" t="s">
        <v>12</v>
      </c>
      <c r="G235" s="54">
        <v>41314</v>
      </c>
      <c r="H235" s="53"/>
      <c r="I235" s="53">
        <v>877</v>
      </c>
      <c r="J235" s="39" t="s">
        <v>33</v>
      </c>
      <c r="K235" s="39" t="s">
        <v>965</v>
      </c>
      <c r="L235" s="39"/>
      <c r="M235" s="39"/>
      <c r="N235" s="39"/>
      <c r="O235" s="40"/>
    </row>
    <row r="236" spans="1:15" x14ac:dyDescent="0.55000000000000004">
      <c r="A236" s="24" t="str">
        <f>IF(COUNTIF(B236:$B$5014,B236)&gt;1,IF(COUNTIF($B$5:B236,B236)&gt;1,"",B236&amp;"-I"),B236)</f>
        <v/>
      </c>
      <c r="B236" s="29">
        <f t="shared" si="3"/>
        <v>899</v>
      </c>
      <c r="C236" s="36" t="s">
        <v>252</v>
      </c>
      <c r="D236" s="53">
        <v>361</v>
      </c>
      <c r="E236" s="53"/>
      <c r="F236" s="53" t="s">
        <v>11</v>
      </c>
      <c r="G236" s="54">
        <v>41339</v>
      </c>
      <c r="H236" s="53"/>
      <c r="I236" s="53">
        <v>899</v>
      </c>
      <c r="J236" s="39" t="s">
        <v>33</v>
      </c>
      <c r="K236" s="39" t="s">
        <v>965</v>
      </c>
      <c r="L236" s="39"/>
      <c r="M236" s="39"/>
      <c r="N236" s="39"/>
      <c r="O236" s="40"/>
    </row>
    <row r="237" spans="1:15" x14ac:dyDescent="0.55000000000000004">
      <c r="A237" s="24" t="str">
        <f>IF(COUNTIF(B237:$B$5014,B237)&gt;1,IF(COUNTIF($B$5:B237,B237)&gt;1,"",B237&amp;"-I"),B237)</f>
        <v/>
      </c>
      <c r="B237" s="29">
        <f t="shared" si="3"/>
        <v>966</v>
      </c>
      <c r="C237" s="36" t="s">
        <v>253</v>
      </c>
      <c r="D237" s="53">
        <v>362</v>
      </c>
      <c r="E237" s="53"/>
      <c r="F237" s="53" t="s">
        <v>12</v>
      </c>
      <c r="G237" s="54">
        <v>41365</v>
      </c>
      <c r="H237" s="53"/>
      <c r="I237" s="53">
        <v>966</v>
      </c>
      <c r="J237" s="39" t="s">
        <v>33</v>
      </c>
      <c r="K237" s="39" t="s">
        <v>965</v>
      </c>
      <c r="L237" s="39"/>
      <c r="M237" s="39"/>
      <c r="N237" s="39"/>
      <c r="O237" s="40"/>
    </row>
    <row r="238" spans="1:15" x14ac:dyDescent="0.55000000000000004">
      <c r="A238" s="24" t="str">
        <f>IF(COUNTIF(B238:$B$5014,B238)&gt;1,IF(COUNTIF($B$5:B238,B238)&gt;1,"",B238&amp;"-I"),B238)</f>
        <v/>
      </c>
      <c r="B238" s="29">
        <f t="shared" si="3"/>
        <v>943</v>
      </c>
      <c r="C238" s="36" t="s">
        <v>254</v>
      </c>
      <c r="D238" s="53">
        <v>363</v>
      </c>
      <c r="E238" s="53"/>
      <c r="F238" s="53" t="s">
        <v>12</v>
      </c>
      <c r="G238" s="54">
        <v>41385</v>
      </c>
      <c r="H238" s="53"/>
      <c r="I238" s="53">
        <v>943</v>
      </c>
      <c r="J238" s="39" t="s">
        <v>33</v>
      </c>
      <c r="K238" s="39" t="s">
        <v>965</v>
      </c>
      <c r="L238" s="39"/>
      <c r="M238" s="39"/>
      <c r="N238" s="39"/>
      <c r="O238" s="40"/>
    </row>
    <row r="239" spans="1:15" x14ac:dyDescent="0.55000000000000004">
      <c r="A239" s="24" t="str">
        <f>IF(COUNTIF(B239:$B$5014,B239)&gt;1,IF(COUNTIF($B$5:B239,B239)&gt;1,"",B239&amp;"-I"),B239)</f>
        <v/>
      </c>
      <c r="B239" s="29">
        <f t="shared" si="3"/>
        <v>939</v>
      </c>
      <c r="C239" s="36" t="s">
        <v>255</v>
      </c>
      <c r="D239" s="53">
        <v>367</v>
      </c>
      <c r="E239" s="53"/>
      <c r="F239" s="53" t="s">
        <v>12</v>
      </c>
      <c r="G239" s="54">
        <v>41414</v>
      </c>
      <c r="H239" s="53"/>
      <c r="I239" s="53">
        <v>939</v>
      </c>
      <c r="J239" s="39" t="s">
        <v>33</v>
      </c>
      <c r="K239" s="39" t="s">
        <v>965</v>
      </c>
      <c r="L239" s="39"/>
      <c r="M239" s="39"/>
      <c r="N239" s="39"/>
      <c r="O239" s="40"/>
    </row>
    <row r="240" spans="1:15" x14ac:dyDescent="0.55000000000000004">
      <c r="A240" s="24" t="str">
        <f>IF(COUNTIF(B240:$B$5014,B240)&gt;1,IF(COUNTIF($B$5:B240,B240)&gt;1,"",B240&amp;"-I"),B240)</f>
        <v/>
      </c>
      <c r="B240" s="29">
        <f t="shared" si="3"/>
        <v>873</v>
      </c>
      <c r="C240" s="85" t="s">
        <v>256</v>
      </c>
      <c r="D240" s="72">
        <v>368</v>
      </c>
      <c r="E240" s="53"/>
      <c r="F240" s="72" t="s">
        <v>12</v>
      </c>
      <c r="G240" s="86">
        <v>41417</v>
      </c>
      <c r="H240" s="53"/>
      <c r="I240" s="72">
        <v>873</v>
      </c>
      <c r="J240" s="47" t="s">
        <v>33</v>
      </c>
      <c r="K240" s="47" t="s">
        <v>1157</v>
      </c>
      <c r="L240" s="39" t="s">
        <v>849</v>
      </c>
      <c r="M240" s="47" t="s">
        <v>864</v>
      </c>
      <c r="N240" s="47" t="s">
        <v>864</v>
      </c>
      <c r="O240" s="50" t="s">
        <v>864</v>
      </c>
    </row>
    <row r="241" spans="1:15" x14ac:dyDescent="0.55000000000000004">
      <c r="A241" s="24" t="str">
        <f>IF(COUNTIF(B241:$B$5014,B241)&gt;1,IF(COUNTIF($B$5:B241,B241)&gt;1,"",B241&amp;"-I"),B241)</f>
        <v/>
      </c>
      <c r="B241" s="29">
        <f t="shared" si="3"/>
        <v>972</v>
      </c>
      <c r="C241" s="36" t="s">
        <v>257</v>
      </c>
      <c r="D241" s="53">
        <v>369</v>
      </c>
      <c r="E241" s="53"/>
      <c r="F241" s="53" t="s">
        <v>12</v>
      </c>
      <c r="G241" s="54">
        <v>41420</v>
      </c>
      <c r="H241" s="53"/>
      <c r="I241" s="53">
        <v>972</v>
      </c>
      <c r="J241" s="39" t="s">
        <v>33</v>
      </c>
      <c r="K241" s="39" t="s">
        <v>965</v>
      </c>
      <c r="L241" s="39"/>
      <c r="M241" s="39"/>
      <c r="N241" s="39"/>
      <c r="O241" s="40"/>
    </row>
    <row r="242" spans="1:15" x14ac:dyDescent="0.55000000000000004">
      <c r="A242" s="24" t="str">
        <f>IF(COUNTIF(B242:$B$5014,B242)&gt;1,IF(COUNTIF($B$5:B242,B242)&gt;1,"",B242&amp;"-I"),B242)</f>
        <v/>
      </c>
      <c r="B242" s="29">
        <f t="shared" si="3"/>
        <v>880</v>
      </c>
      <c r="C242" s="36" t="s">
        <v>258</v>
      </c>
      <c r="D242" s="53">
        <v>370</v>
      </c>
      <c r="E242" s="53"/>
      <c r="F242" s="53" t="s">
        <v>12</v>
      </c>
      <c r="G242" s="54">
        <v>41420</v>
      </c>
      <c r="H242" s="53"/>
      <c r="I242" s="53">
        <v>880</v>
      </c>
      <c r="J242" s="39" t="s">
        <v>33</v>
      </c>
      <c r="K242" s="39" t="s">
        <v>965</v>
      </c>
      <c r="L242" s="39"/>
      <c r="M242" s="39"/>
      <c r="N242" s="39"/>
      <c r="O242" s="40"/>
    </row>
    <row r="243" spans="1:15" x14ac:dyDescent="0.55000000000000004">
      <c r="A243" s="24" t="str">
        <f>IF(COUNTIF(B243:$B$5014,B243)&gt;1,IF(COUNTIF($B$5:B243,B243)&gt;1,"",B243&amp;"-I"),B243)</f>
        <v/>
      </c>
      <c r="B243" s="29">
        <f t="shared" si="3"/>
        <v>896</v>
      </c>
      <c r="C243" s="36" t="s">
        <v>259</v>
      </c>
      <c r="D243" s="53">
        <v>371</v>
      </c>
      <c r="E243" s="53"/>
      <c r="F243" s="53" t="s">
        <v>11</v>
      </c>
      <c r="G243" s="54">
        <v>41420</v>
      </c>
      <c r="H243" s="53"/>
      <c r="I243" s="53">
        <v>896</v>
      </c>
      <c r="J243" s="39" t="s">
        <v>33</v>
      </c>
      <c r="K243" s="39" t="s">
        <v>965</v>
      </c>
      <c r="L243" s="39"/>
      <c r="M243" s="39"/>
      <c r="N243" s="39"/>
      <c r="O243" s="40"/>
    </row>
    <row r="244" spans="1:15" x14ac:dyDescent="0.55000000000000004">
      <c r="A244" s="24" t="str">
        <f>IF(COUNTIF(B244:$B$5014,B244)&gt;1,IF(COUNTIF($B$5:B244,B244)&gt;1,"",B244&amp;"-I"),B244)</f>
        <v/>
      </c>
      <c r="B244" s="29">
        <f t="shared" si="3"/>
        <v>973</v>
      </c>
      <c r="C244" s="36" t="s">
        <v>260</v>
      </c>
      <c r="D244" s="53">
        <v>373</v>
      </c>
      <c r="E244" s="53"/>
      <c r="F244" s="53" t="s">
        <v>12</v>
      </c>
      <c r="G244" s="54">
        <v>41422</v>
      </c>
      <c r="H244" s="53"/>
      <c r="I244" s="53">
        <v>973</v>
      </c>
      <c r="J244" s="39" t="s">
        <v>33</v>
      </c>
      <c r="K244" s="39" t="s">
        <v>965</v>
      </c>
      <c r="L244" s="39"/>
      <c r="M244" s="39"/>
      <c r="N244" s="39"/>
      <c r="O244" s="40"/>
    </row>
    <row r="245" spans="1:15" x14ac:dyDescent="0.55000000000000004">
      <c r="A245" s="24" t="str">
        <f>IF(COUNTIF(B245:$B$5014,B245)&gt;1,IF(COUNTIF($B$5:B245,B245)&gt;1,"",B245&amp;"-I"),B245)</f>
        <v/>
      </c>
      <c r="B245" s="29">
        <f t="shared" si="3"/>
        <v>871</v>
      </c>
      <c r="C245" s="36" t="s">
        <v>261</v>
      </c>
      <c r="D245" s="53">
        <v>374</v>
      </c>
      <c r="E245" s="53"/>
      <c r="F245" s="53" t="s">
        <v>12</v>
      </c>
      <c r="G245" s="54">
        <v>41428</v>
      </c>
      <c r="H245" s="53"/>
      <c r="I245" s="53">
        <v>871</v>
      </c>
      <c r="J245" s="39" t="s">
        <v>33</v>
      </c>
      <c r="K245" s="39" t="s">
        <v>965</v>
      </c>
      <c r="L245" s="39"/>
      <c r="M245" s="39"/>
      <c r="N245" s="39"/>
      <c r="O245" s="40"/>
    </row>
    <row r="246" spans="1:15" x14ac:dyDescent="0.55000000000000004">
      <c r="A246" s="24" t="str">
        <f>IF(COUNTIF(B246:$B$5014,B246)&gt;1,IF(COUNTIF($B$5:B246,B246)&gt;1,"",B246&amp;"-I"),B246)</f>
        <v/>
      </c>
      <c r="B246" s="29">
        <f t="shared" si="3"/>
        <v>890</v>
      </c>
      <c r="C246" s="85" t="s">
        <v>262</v>
      </c>
      <c r="D246" s="72">
        <v>375</v>
      </c>
      <c r="E246" s="53"/>
      <c r="F246" s="72" t="s">
        <v>12</v>
      </c>
      <c r="G246" s="86">
        <v>41428</v>
      </c>
      <c r="H246" s="53"/>
      <c r="I246" s="72">
        <v>890</v>
      </c>
      <c r="J246" s="47" t="s">
        <v>33</v>
      </c>
      <c r="K246" s="47" t="s">
        <v>1157</v>
      </c>
      <c r="L246" s="39" t="s">
        <v>848</v>
      </c>
      <c r="M246" s="47" t="s">
        <v>864</v>
      </c>
      <c r="N246" s="47" t="s">
        <v>864</v>
      </c>
      <c r="O246" s="50" t="s">
        <v>864</v>
      </c>
    </row>
    <row r="247" spans="1:15" x14ac:dyDescent="0.55000000000000004">
      <c r="A247" s="24" t="str">
        <f>IF(COUNTIF(B247:$B$5014,B247)&gt;1,IF(COUNTIF($B$5:B247,B247)&gt;1,"",B247&amp;"-I"),B247)</f>
        <v/>
      </c>
      <c r="B247" s="29">
        <f t="shared" si="3"/>
        <v>898</v>
      </c>
      <c r="C247" s="36" t="s">
        <v>263</v>
      </c>
      <c r="D247" s="53">
        <v>378</v>
      </c>
      <c r="E247" s="53"/>
      <c r="F247" s="53" t="s">
        <v>11</v>
      </c>
      <c r="G247" s="54">
        <v>41444</v>
      </c>
      <c r="H247" s="53"/>
      <c r="I247" s="53">
        <v>898</v>
      </c>
      <c r="J247" s="39" t="s">
        <v>33</v>
      </c>
      <c r="K247" s="39" t="s">
        <v>965</v>
      </c>
      <c r="L247" s="39"/>
      <c r="M247" s="39"/>
      <c r="N247" s="39"/>
      <c r="O247" s="40"/>
    </row>
    <row r="248" spans="1:15" x14ac:dyDescent="0.55000000000000004">
      <c r="A248" s="24" t="str">
        <f>IF(COUNTIF(B248:$B$5014,B248)&gt;1,IF(COUNTIF($B$5:B248,B248)&gt;1,"",B248&amp;"-I"),B248)</f>
        <v/>
      </c>
      <c r="B248" s="29">
        <f t="shared" si="3"/>
        <v>882</v>
      </c>
      <c r="C248" s="36" t="s">
        <v>264</v>
      </c>
      <c r="D248" s="53">
        <v>379</v>
      </c>
      <c r="E248" s="53"/>
      <c r="F248" s="53" t="s">
        <v>12</v>
      </c>
      <c r="G248" s="54">
        <v>41451</v>
      </c>
      <c r="H248" s="53"/>
      <c r="I248" s="53">
        <v>882</v>
      </c>
      <c r="J248" s="39" t="s">
        <v>33</v>
      </c>
      <c r="K248" s="39" t="s">
        <v>965</v>
      </c>
      <c r="L248" s="39"/>
      <c r="M248" s="39"/>
      <c r="N248" s="39"/>
      <c r="O248" s="40"/>
    </row>
    <row r="249" spans="1:15" x14ac:dyDescent="0.55000000000000004">
      <c r="A249" s="24" t="str">
        <f>IF(COUNTIF(B249:$B$5014,B249)&gt;1,IF(COUNTIF($B$5:B249,B249)&gt;1,"",B249&amp;"-I"),B249)</f>
        <v/>
      </c>
      <c r="B249" s="29">
        <f t="shared" si="3"/>
        <v>930</v>
      </c>
      <c r="C249" s="36" t="s">
        <v>265</v>
      </c>
      <c r="D249" s="53">
        <v>380</v>
      </c>
      <c r="E249" s="53"/>
      <c r="F249" s="53" t="s">
        <v>12</v>
      </c>
      <c r="G249" s="54">
        <v>41453</v>
      </c>
      <c r="H249" s="53"/>
      <c r="I249" s="53">
        <v>930</v>
      </c>
      <c r="J249" s="39" t="s">
        <v>33</v>
      </c>
      <c r="K249" s="39" t="s">
        <v>965</v>
      </c>
      <c r="L249" s="39"/>
      <c r="M249" s="39"/>
      <c r="N249" s="39"/>
      <c r="O249" s="40"/>
    </row>
    <row r="250" spans="1:15" x14ac:dyDescent="0.55000000000000004">
      <c r="A250" s="24" t="str">
        <f>IF(COUNTIF(B250:$B$5014,B250)&gt;1,IF(COUNTIF($B$5:B250,B250)&gt;1,"",B250&amp;"-I"),B250)</f>
        <v/>
      </c>
      <c r="B250" s="29">
        <f t="shared" si="3"/>
        <v>893</v>
      </c>
      <c r="C250" s="85" t="s">
        <v>266</v>
      </c>
      <c r="D250" s="72">
        <v>381</v>
      </c>
      <c r="E250" s="53"/>
      <c r="F250" s="72" t="s">
        <v>12</v>
      </c>
      <c r="G250" s="86">
        <v>41458</v>
      </c>
      <c r="H250" s="53"/>
      <c r="I250" s="72">
        <v>893</v>
      </c>
      <c r="J250" s="47" t="s">
        <v>33</v>
      </c>
      <c r="K250" s="47" t="s">
        <v>1157</v>
      </c>
      <c r="L250" s="39" t="s">
        <v>838</v>
      </c>
      <c r="M250" s="47" t="s">
        <v>864</v>
      </c>
      <c r="N250" s="47" t="s">
        <v>864</v>
      </c>
      <c r="O250" s="50" t="s">
        <v>864</v>
      </c>
    </row>
    <row r="251" spans="1:15" x14ac:dyDescent="0.55000000000000004">
      <c r="A251" s="24" t="str">
        <f>IF(COUNTIF(B251:$B$5014,B251)&gt;1,IF(COUNTIF($B$5:B251,B251)&gt;1,"",B251&amp;"-I"),B251)</f>
        <v/>
      </c>
      <c r="B251" s="29">
        <f t="shared" si="3"/>
        <v>884</v>
      </c>
      <c r="C251" s="36" t="s">
        <v>267</v>
      </c>
      <c r="D251" s="53">
        <v>382</v>
      </c>
      <c r="E251" s="53"/>
      <c r="F251" s="53" t="s">
        <v>12</v>
      </c>
      <c r="G251" s="54">
        <v>41461</v>
      </c>
      <c r="H251" s="53"/>
      <c r="I251" s="53">
        <v>884</v>
      </c>
      <c r="J251" s="39" t="s">
        <v>33</v>
      </c>
      <c r="K251" s="39" t="s">
        <v>965</v>
      </c>
      <c r="L251" s="39"/>
      <c r="M251" s="39"/>
      <c r="N251" s="39"/>
      <c r="O251" s="40"/>
    </row>
    <row r="252" spans="1:15" x14ac:dyDescent="0.55000000000000004">
      <c r="A252" s="24" t="str">
        <f>IF(COUNTIF(B252:$B$5014,B252)&gt;1,IF(COUNTIF($B$5:B252,B252)&gt;1,"",B252&amp;"-I"),B252)</f>
        <v/>
      </c>
      <c r="B252" s="29">
        <f t="shared" si="3"/>
        <v>931</v>
      </c>
      <c r="C252" s="36" t="s">
        <v>268</v>
      </c>
      <c r="D252" s="53">
        <v>384</v>
      </c>
      <c r="E252" s="53"/>
      <c r="F252" s="53" t="s">
        <v>12</v>
      </c>
      <c r="G252" s="54">
        <v>41485</v>
      </c>
      <c r="H252" s="53"/>
      <c r="I252" s="53">
        <v>931</v>
      </c>
      <c r="J252" s="39" t="s">
        <v>33</v>
      </c>
      <c r="K252" s="39" t="s">
        <v>965</v>
      </c>
      <c r="L252" s="39"/>
      <c r="M252" s="39"/>
      <c r="N252" s="39"/>
      <c r="O252" s="40"/>
    </row>
    <row r="253" spans="1:15" x14ac:dyDescent="0.55000000000000004">
      <c r="A253" s="24" t="str">
        <f>IF(COUNTIF(B253:$B$5014,B253)&gt;1,IF(COUNTIF($B$5:B253,B253)&gt;1,"",B253&amp;"-I"),B253)</f>
        <v/>
      </c>
      <c r="B253" s="29">
        <f t="shared" si="3"/>
        <v>894</v>
      </c>
      <c r="C253" s="36" t="s">
        <v>269</v>
      </c>
      <c r="D253" s="53">
        <v>385</v>
      </c>
      <c r="E253" s="53"/>
      <c r="F253" s="53" t="s">
        <v>12</v>
      </c>
      <c r="G253" s="54">
        <v>41485</v>
      </c>
      <c r="H253" s="53"/>
      <c r="I253" s="53">
        <v>894</v>
      </c>
      <c r="J253" s="39" t="s">
        <v>33</v>
      </c>
      <c r="K253" s="39" t="s">
        <v>965</v>
      </c>
      <c r="L253" s="39"/>
      <c r="M253" s="39"/>
      <c r="N253" s="39"/>
      <c r="O253" s="40"/>
    </row>
    <row r="254" spans="1:15" x14ac:dyDescent="0.55000000000000004">
      <c r="A254" s="24" t="str">
        <f>IF(COUNTIF(B254:$B$5014,B254)&gt;1,IF(COUNTIF($B$5:B254,B254)&gt;1,"",B254&amp;"-I"),B254)</f>
        <v/>
      </c>
      <c r="B254" s="29">
        <f t="shared" si="3"/>
        <v>867</v>
      </c>
      <c r="C254" s="36" t="s">
        <v>270</v>
      </c>
      <c r="D254" s="53">
        <v>386</v>
      </c>
      <c r="E254" s="53"/>
      <c r="F254" s="53" t="s">
        <v>11</v>
      </c>
      <c r="G254" s="54">
        <v>41499</v>
      </c>
      <c r="H254" s="53"/>
      <c r="I254" s="53">
        <v>867</v>
      </c>
      <c r="J254" s="39" t="s">
        <v>33</v>
      </c>
      <c r="K254" s="39" t="s">
        <v>965</v>
      </c>
      <c r="L254" s="39"/>
      <c r="M254" s="39"/>
      <c r="N254" s="39"/>
      <c r="O254" s="40"/>
    </row>
    <row r="255" spans="1:15" x14ac:dyDescent="0.55000000000000004">
      <c r="A255" s="24" t="str">
        <f>IF(COUNTIF(B255:$B$5014,B255)&gt;1,IF(COUNTIF($B$5:B255,B255)&gt;1,"",B255&amp;"-I"),B255)</f>
        <v/>
      </c>
      <c r="B255" s="29">
        <f t="shared" si="3"/>
        <v>928</v>
      </c>
      <c r="C255" s="36" t="s">
        <v>271</v>
      </c>
      <c r="D255" s="53">
        <v>387</v>
      </c>
      <c r="E255" s="53"/>
      <c r="F255" s="53" t="s">
        <v>12</v>
      </c>
      <c r="G255" s="54">
        <v>41499</v>
      </c>
      <c r="H255" s="53"/>
      <c r="I255" s="53">
        <v>928</v>
      </c>
      <c r="J255" s="39" t="s">
        <v>33</v>
      </c>
      <c r="K255" s="39" t="s">
        <v>965</v>
      </c>
      <c r="L255" s="39"/>
      <c r="M255" s="39"/>
      <c r="N255" s="39"/>
      <c r="O255" s="40"/>
    </row>
    <row r="256" spans="1:15" x14ac:dyDescent="0.55000000000000004">
      <c r="A256" s="24" t="str">
        <f>IF(COUNTIF(B256:$B$5014,B256)&gt;1,IF(COUNTIF($B$5:B256,B256)&gt;1,"",B256&amp;"-I"),B256)</f>
        <v/>
      </c>
      <c r="B256" s="29">
        <f t="shared" si="3"/>
        <v>875</v>
      </c>
      <c r="C256" s="36" t="s">
        <v>272</v>
      </c>
      <c r="D256" s="53">
        <v>388</v>
      </c>
      <c r="E256" s="53"/>
      <c r="F256" s="53" t="s">
        <v>12</v>
      </c>
      <c r="G256" s="54">
        <v>41502</v>
      </c>
      <c r="H256" s="53"/>
      <c r="I256" s="53">
        <v>875</v>
      </c>
      <c r="J256" s="39" t="s">
        <v>33</v>
      </c>
      <c r="K256" s="39" t="s">
        <v>965</v>
      </c>
      <c r="L256" s="39"/>
      <c r="M256" s="39"/>
      <c r="N256" s="39"/>
      <c r="O256" s="40"/>
    </row>
    <row r="257" spans="1:15" x14ac:dyDescent="0.55000000000000004">
      <c r="A257" s="24" t="str">
        <f>IF(COUNTIF(B257:$B$5014,B257)&gt;1,IF(COUNTIF($B$5:B257,B257)&gt;1,"",B257&amp;"-I"),B257)</f>
        <v/>
      </c>
      <c r="B257" s="29">
        <f t="shared" si="3"/>
        <v>858</v>
      </c>
      <c r="C257" s="36" t="s">
        <v>273</v>
      </c>
      <c r="D257" s="53">
        <v>390</v>
      </c>
      <c r="E257" s="53"/>
      <c r="F257" s="53" t="s">
        <v>12</v>
      </c>
      <c r="G257" s="54">
        <v>41508</v>
      </c>
      <c r="H257" s="53"/>
      <c r="I257" s="53">
        <v>858</v>
      </c>
      <c r="J257" s="39" t="s">
        <v>33</v>
      </c>
      <c r="K257" s="39" t="s">
        <v>965</v>
      </c>
      <c r="L257" s="39"/>
      <c r="M257" s="39"/>
      <c r="N257" s="39"/>
      <c r="O257" s="40"/>
    </row>
    <row r="258" spans="1:15" x14ac:dyDescent="0.55000000000000004">
      <c r="A258" s="24" t="str">
        <f>IF(COUNTIF(B258:$B$5014,B258)&gt;1,IF(COUNTIF($B$5:B258,B258)&gt;1,"",B258&amp;"-I"),B258)</f>
        <v/>
      </c>
      <c r="B258" s="29">
        <f t="shared" si="3"/>
        <v>974</v>
      </c>
      <c r="C258" s="36" t="s">
        <v>274</v>
      </c>
      <c r="D258" s="53">
        <v>392</v>
      </c>
      <c r="E258" s="53"/>
      <c r="F258" s="53" t="s">
        <v>12</v>
      </c>
      <c r="G258" s="54">
        <v>41509</v>
      </c>
      <c r="H258" s="53"/>
      <c r="I258" s="23">
        <v>974</v>
      </c>
      <c r="J258" s="39" t="s">
        <v>33</v>
      </c>
      <c r="K258" s="39" t="s">
        <v>965</v>
      </c>
      <c r="L258" s="39"/>
      <c r="M258" s="39"/>
      <c r="N258" s="39"/>
      <c r="O258" s="40"/>
    </row>
    <row r="259" spans="1:15" x14ac:dyDescent="0.55000000000000004">
      <c r="A259" s="24" t="str">
        <f>IF(COUNTIF(B259:$B$5014,B259)&gt;1,IF(COUNTIF($B$5:B259,B259)&gt;1,"",B259&amp;"-I"),B259)</f>
        <v/>
      </c>
      <c r="B259" s="29">
        <f t="shared" si="3"/>
        <v>885</v>
      </c>
      <c r="C259" s="36" t="s">
        <v>275</v>
      </c>
      <c r="D259" s="53">
        <v>394</v>
      </c>
      <c r="E259" s="53"/>
      <c r="F259" s="53" t="s">
        <v>11</v>
      </c>
      <c r="G259" s="54">
        <v>41513</v>
      </c>
      <c r="H259" s="53"/>
      <c r="I259" s="53">
        <v>885</v>
      </c>
      <c r="J259" s="39" t="s">
        <v>33</v>
      </c>
      <c r="K259" s="39" t="s">
        <v>965</v>
      </c>
      <c r="L259" s="39"/>
      <c r="M259" s="39"/>
      <c r="N259" s="39"/>
      <c r="O259" s="40"/>
    </row>
    <row r="260" spans="1:15" x14ac:dyDescent="0.55000000000000004">
      <c r="A260" s="24" t="str">
        <f>IF(COUNTIF(B260:$B$5014,B260)&gt;1,IF(COUNTIF($B$5:B260,B260)&gt;1,"",B260&amp;"-I"),B260)</f>
        <v/>
      </c>
      <c r="B260" s="29">
        <f t="shared" si="3"/>
        <v>876</v>
      </c>
      <c r="C260" s="36" t="s">
        <v>276</v>
      </c>
      <c r="D260" s="53">
        <v>395</v>
      </c>
      <c r="E260" s="53"/>
      <c r="F260" s="53" t="s">
        <v>12</v>
      </c>
      <c r="G260" s="54">
        <v>41518</v>
      </c>
      <c r="H260" s="53"/>
      <c r="I260" s="53">
        <v>876</v>
      </c>
      <c r="J260" s="39" t="s">
        <v>33</v>
      </c>
      <c r="K260" s="39" t="s">
        <v>965</v>
      </c>
      <c r="L260" s="39"/>
      <c r="M260" s="39"/>
      <c r="N260" s="39"/>
      <c r="O260" s="40"/>
    </row>
    <row r="261" spans="1:15" x14ac:dyDescent="0.55000000000000004">
      <c r="A261" s="24" t="str">
        <f>IF(COUNTIF(B261:$B$5014,B261)&gt;1,IF(COUNTIF($B$5:B261,B261)&gt;1,"",B261&amp;"-I"),B261)</f>
        <v/>
      </c>
      <c r="B261" s="29">
        <f t="shared" ref="B261:B324" si="4">+I261</f>
        <v>950</v>
      </c>
      <c r="C261" s="36" t="s">
        <v>277</v>
      </c>
      <c r="D261" s="53">
        <v>400</v>
      </c>
      <c r="E261" s="53"/>
      <c r="F261" s="53" t="s">
        <v>12</v>
      </c>
      <c r="G261" s="54">
        <v>41540</v>
      </c>
      <c r="H261" s="53"/>
      <c r="I261" s="53">
        <v>950</v>
      </c>
      <c r="J261" s="39" t="s">
        <v>33</v>
      </c>
      <c r="K261" s="39" t="s">
        <v>965</v>
      </c>
      <c r="L261" s="39"/>
      <c r="M261" s="39"/>
      <c r="N261" s="39"/>
      <c r="O261" s="40"/>
    </row>
    <row r="262" spans="1:15" x14ac:dyDescent="0.55000000000000004">
      <c r="A262" s="24" t="str">
        <f>IF(COUNTIF(B262:$B$5014,B262)&gt;1,IF(COUNTIF($B$5:B262,B262)&gt;1,"",B262&amp;"-I"),B262)</f>
        <v/>
      </c>
      <c r="B262" s="29">
        <f t="shared" si="4"/>
        <v>964</v>
      </c>
      <c r="C262" s="36" t="s">
        <v>278</v>
      </c>
      <c r="D262" s="53">
        <v>401</v>
      </c>
      <c r="E262" s="53"/>
      <c r="F262" s="53" t="s">
        <v>12</v>
      </c>
      <c r="G262" s="54">
        <v>41539</v>
      </c>
      <c r="H262" s="53"/>
      <c r="I262" s="53">
        <v>964</v>
      </c>
      <c r="J262" s="39" t="s">
        <v>33</v>
      </c>
      <c r="K262" s="39" t="s">
        <v>965</v>
      </c>
      <c r="L262" s="39"/>
      <c r="M262" s="39"/>
      <c r="N262" s="39"/>
      <c r="O262" s="40"/>
    </row>
    <row r="263" spans="1:15" x14ac:dyDescent="0.55000000000000004">
      <c r="A263" s="24" t="str">
        <f>IF(COUNTIF(B263:$B$5014,B263)&gt;1,IF(COUNTIF($B$5:B263,B263)&gt;1,"",B263&amp;"-I"),B263)</f>
        <v/>
      </c>
      <c r="B263" s="29">
        <f t="shared" si="4"/>
        <v>854</v>
      </c>
      <c r="C263" s="36" t="s">
        <v>279</v>
      </c>
      <c r="D263" s="53">
        <v>402</v>
      </c>
      <c r="E263" s="53"/>
      <c r="F263" s="53" t="s">
        <v>12</v>
      </c>
      <c r="G263" s="54">
        <v>41548</v>
      </c>
      <c r="H263" s="53"/>
      <c r="I263" s="53">
        <v>854</v>
      </c>
      <c r="J263" s="39" t="s">
        <v>33</v>
      </c>
      <c r="K263" s="39" t="s">
        <v>965</v>
      </c>
      <c r="L263" s="39"/>
      <c r="M263" s="39"/>
      <c r="N263" s="39"/>
      <c r="O263" s="40"/>
    </row>
    <row r="264" spans="1:15" x14ac:dyDescent="0.55000000000000004">
      <c r="A264" s="24" t="str">
        <f>IF(COUNTIF(B264:$B$5014,B264)&gt;1,IF(COUNTIF($B$5:B264,B264)&gt;1,"",B264&amp;"-I"),B264)</f>
        <v/>
      </c>
      <c r="B264" s="29">
        <f t="shared" si="4"/>
        <v>863</v>
      </c>
      <c r="C264" s="36" t="s">
        <v>280</v>
      </c>
      <c r="D264" s="53">
        <v>403</v>
      </c>
      <c r="E264" s="53"/>
      <c r="F264" s="53" t="s">
        <v>12</v>
      </c>
      <c r="G264" s="54">
        <v>41560</v>
      </c>
      <c r="H264" s="53"/>
      <c r="I264" s="53">
        <v>863</v>
      </c>
      <c r="J264" s="39" t="s">
        <v>33</v>
      </c>
      <c r="K264" s="39" t="s">
        <v>965</v>
      </c>
      <c r="L264" s="39"/>
      <c r="M264" s="39"/>
      <c r="N264" s="39"/>
      <c r="O264" s="40"/>
    </row>
    <row r="265" spans="1:15" x14ac:dyDescent="0.55000000000000004">
      <c r="A265" s="24" t="str">
        <f>IF(COUNTIF(B265:$B$5014,B265)&gt;1,IF(COUNTIF($B$5:B265,B265)&gt;1,"",B265&amp;"-I"),B265)</f>
        <v/>
      </c>
      <c r="B265" s="29">
        <f t="shared" si="4"/>
        <v>862</v>
      </c>
      <c r="C265" s="36" t="s">
        <v>281</v>
      </c>
      <c r="D265" s="53">
        <v>404</v>
      </c>
      <c r="E265" s="53"/>
      <c r="F265" s="53" t="s">
        <v>12</v>
      </c>
      <c r="G265" s="54">
        <v>41565</v>
      </c>
      <c r="H265" s="53"/>
      <c r="I265" s="53">
        <v>862</v>
      </c>
      <c r="J265" s="39" t="s">
        <v>33</v>
      </c>
      <c r="K265" s="39" t="s">
        <v>965</v>
      </c>
      <c r="L265" s="39"/>
      <c r="M265" s="39"/>
      <c r="N265" s="39"/>
      <c r="O265" s="40"/>
    </row>
    <row r="266" spans="1:15" x14ac:dyDescent="0.55000000000000004">
      <c r="A266" s="24" t="str">
        <f>IF(COUNTIF(B266:$B$5014,B266)&gt;1,IF(COUNTIF($B$5:B266,B266)&gt;1,"",B266&amp;"-I"),B266)</f>
        <v/>
      </c>
      <c r="B266" s="29">
        <f t="shared" si="4"/>
        <v>957</v>
      </c>
      <c r="C266" s="36" t="s">
        <v>282</v>
      </c>
      <c r="D266" s="53">
        <v>406</v>
      </c>
      <c r="E266" s="53"/>
      <c r="F266" s="53" t="s">
        <v>12</v>
      </c>
      <c r="G266" s="54">
        <v>41571</v>
      </c>
      <c r="H266" s="53"/>
      <c r="I266" s="53">
        <v>957</v>
      </c>
      <c r="J266" s="39" t="s">
        <v>33</v>
      </c>
      <c r="K266" s="39" t="s">
        <v>965</v>
      </c>
      <c r="L266" s="39"/>
      <c r="M266" s="39"/>
      <c r="N266" s="39"/>
      <c r="O266" s="40"/>
    </row>
    <row r="267" spans="1:15" x14ac:dyDescent="0.55000000000000004">
      <c r="A267" s="24" t="str">
        <f>IF(COUNTIF(B267:$B$5014,B267)&gt;1,IF(COUNTIF($B$5:B267,B267)&gt;1,"",B267&amp;"-I"),B267)</f>
        <v/>
      </c>
      <c r="B267" s="29">
        <f t="shared" si="4"/>
        <v>933</v>
      </c>
      <c r="C267" s="36" t="s">
        <v>283</v>
      </c>
      <c r="D267" s="53">
        <v>407</v>
      </c>
      <c r="E267" s="53"/>
      <c r="F267" s="53" t="s">
        <v>11</v>
      </c>
      <c r="G267" s="54">
        <v>41572</v>
      </c>
      <c r="H267" s="53"/>
      <c r="I267" s="53">
        <v>933</v>
      </c>
      <c r="J267" s="39" t="s">
        <v>33</v>
      </c>
      <c r="K267" s="39" t="s">
        <v>965</v>
      </c>
      <c r="L267" s="39"/>
      <c r="M267" s="39"/>
      <c r="N267" s="39"/>
      <c r="O267" s="40"/>
    </row>
    <row r="268" spans="1:15" x14ac:dyDescent="0.55000000000000004">
      <c r="A268" s="24" t="str">
        <f>IF(COUNTIF(B268:$B$5014,B268)&gt;1,IF(COUNTIF($B$5:B268,B268)&gt;1,"",B268&amp;"-I"),B268)</f>
        <v/>
      </c>
      <c r="B268" s="29">
        <f t="shared" si="4"/>
        <v>949</v>
      </c>
      <c r="C268" s="36" t="s">
        <v>284</v>
      </c>
      <c r="D268" s="53">
        <v>408</v>
      </c>
      <c r="E268" s="53"/>
      <c r="F268" s="53" t="s">
        <v>11</v>
      </c>
      <c r="G268" s="54">
        <v>41572</v>
      </c>
      <c r="H268" s="53"/>
      <c r="I268" s="53">
        <v>949</v>
      </c>
      <c r="J268" s="39" t="s">
        <v>33</v>
      </c>
      <c r="K268" s="39" t="s">
        <v>965</v>
      </c>
      <c r="L268" s="39"/>
      <c r="M268" s="39"/>
      <c r="N268" s="39"/>
      <c r="O268" s="40"/>
    </row>
    <row r="269" spans="1:15" x14ac:dyDescent="0.55000000000000004">
      <c r="A269" s="24" t="str">
        <f>IF(COUNTIF(B269:$B$5014,B269)&gt;1,IF(COUNTIF($B$5:B269,B269)&gt;1,"",B269&amp;"-I"),B269)</f>
        <v/>
      </c>
      <c r="B269" s="29">
        <f t="shared" si="4"/>
        <v>946</v>
      </c>
      <c r="C269" s="36" t="s">
        <v>285</v>
      </c>
      <c r="D269" s="53">
        <v>409</v>
      </c>
      <c r="E269" s="53"/>
      <c r="F269" s="53" t="s">
        <v>12</v>
      </c>
      <c r="G269" s="54">
        <v>41574</v>
      </c>
      <c r="H269" s="53"/>
      <c r="I269" s="53">
        <v>946</v>
      </c>
      <c r="J269" s="39" t="s">
        <v>33</v>
      </c>
      <c r="K269" s="39" t="s">
        <v>965</v>
      </c>
      <c r="L269" s="39"/>
      <c r="M269" s="39"/>
      <c r="N269" s="39"/>
      <c r="O269" s="40"/>
    </row>
    <row r="270" spans="1:15" x14ac:dyDescent="0.55000000000000004">
      <c r="A270" s="24" t="str">
        <f>IF(COUNTIF(B270:$B$5014,B270)&gt;1,IF(COUNTIF($B$5:B270,B270)&gt;1,"",B270&amp;"-I"),B270)</f>
        <v/>
      </c>
      <c r="B270" s="29">
        <f t="shared" si="4"/>
        <v>872</v>
      </c>
      <c r="C270" s="36" t="s">
        <v>286</v>
      </c>
      <c r="D270" s="53">
        <v>410</v>
      </c>
      <c r="E270" s="53"/>
      <c r="F270" s="53" t="s">
        <v>12</v>
      </c>
      <c r="G270" s="54">
        <v>41575</v>
      </c>
      <c r="H270" s="53"/>
      <c r="I270" s="53">
        <v>872</v>
      </c>
      <c r="J270" s="39" t="s">
        <v>33</v>
      </c>
      <c r="K270" s="39" t="s">
        <v>965</v>
      </c>
      <c r="L270" s="39"/>
      <c r="M270" s="39"/>
      <c r="N270" s="39"/>
      <c r="O270" s="40"/>
    </row>
    <row r="271" spans="1:15" x14ac:dyDescent="0.55000000000000004">
      <c r="A271" s="24" t="str">
        <f>IF(COUNTIF(B271:$B$5014,B271)&gt;1,IF(COUNTIF($B$5:B271,B271)&gt;1,"",B271&amp;"-I"),B271)</f>
        <v/>
      </c>
      <c r="B271" s="29">
        <f t="shared" si="4"/>
        <v>954</v>
      </c>
      <c r="C271" s="36" t="s">
        <v>287</v>
      </c>
      <c r="D271" s="53">
        <v>411</v>
      </c>
      <c r="E271" s="53"/>
      <c r="F271" s="53" t="s">
        <v>12</v>
      </c>
      <c r="G271" s="54">
        <v>41575</v>
      </c>
      <c r="H271" s="53"/>
      <c r="I271" s="53">
        <v>954</v>
      </c>
      <c r="J271" s="39" t="s">
        <v>33</v>
      </c>
      <c r="K271" s="39" t="s">
        <v>965</v>
      </c>
      <c r="L271" s="39"/>
      <c r="M271" s="39"/>
      <c r="N271" s="39"/>
      <c r="O271" s="40"/>
    </row>
    <row r="272" spans="1:15" x14ac:dyDescent="0.55000000000000004">
      <c r="A272" s="24" t="str">
        <f>IF(COUNTIF(B272:$B$5014,B272)&gt;1,IF(COUNTIF($B$5:B272,B272)&gt;1,"",B272&amp;"-I"),B272)</f>
        <v>961-I</v>
      </c>
      <c r="B272" s="29">
        <f t="shared" si="4"/>
        <v>961</v>
      </c>
      <c r="C272" s="36" t="s">
        <v>288</v>
      </c>
      <c r="D272" s="53">
        <v>412</v>
      </c>
      <c r="E272" s="53"/>
      <c r="F272" s="53" t="s">
        <v>11</v>
      </c>
      <c r="G272" s="54">
        <v>41583</v>
      </c>
      <c r="H272" s="53"/>
      <c r="I272" s="53">
        <v>961</v>
      </c>
      <c r="J272" s="39" t="s">
        <v>33</v>
      </c>
      <c r="K272" s="39" t="s">
        <v>965</v>
      </c>
      <c r="L272" s="39"/>
      <c r="M272" s="39"/>
      <c r="N272" s="39"/>
      <c r="O272" s="40"/>
    </row>
    <row r="273" spans="1:15" x14ac:dyDescent="0.55000000000000004">
      <c r="A273" s="24" t="str">
        <f>IF(COUNTIF(B273:$B$5014,B273)&gt;1,IF(COUNTIF($B$5:B273,B273)&gt;1,"",B273&amp;"-I"),B273)</f>
        <v/>
      </c>
      <c r="B273" s="29">
        <f t="shared" si="4"/>
        <v>859</v>
      </c>
      <c r="C273" s="36" t="s">
        <v>289</v>
      </c>
      <c r="D273" s="53">
        <v>413</v>
      </c>
      <c r="E273" s="53"/>
      <c r="F273" s="53" t="s">
        <v>12</v>
      </c>
      <c r="G273" s="54">
        <v>41589</v>
      </c>
      <c r="H273" s="53"/>
      <c r="I273" s="53">
        <v>859</v>
      </c>
      <c r="J273" s="39" t="s">
        <v>33</v>
      </c>
      <c r="K273" s="39" t="s">
        <v>965</v>
      </c>
      <c r="L273" s="39"/>
      <c r="M273" s="39"/>
      <c r="N273" s="39"/>
      <c r="O273" s="40"/>
    </row>
    <row r="274" spans="1:15" x14ac:dyDescent="0.55000000000000004">
      <c r="A274" s="24" t="str">
        <f>IF(COUNTIF(B274:$B$5014,B274)&gt;1,IF(COUNTIF($B$5:B274,B274)&gt;1,"",B274&amp;"-I"),B274)</f>
        <v/>
      </c>
      <c r="B274" s="29">
        <f t="shared" si="4"/>
        <v>945</v>
      </c>
      <c r="C274" s="36" t="s">
        <v>290</v>
      </c>
      <c r="D274" s="53">
        <v>415</v>
      </c>
      <c r="E274" s="53"/>
      <c r="F274" s="53" t="s">
        <v>12</v>
      </c>
      <c r="G274" s="54">
        <v>41592</v>
      </c>
      <c r="H274" s="53"/>
      <c r="I274" s="53">
        <v>945</v>
      </c>
      <c r="J274" s="39" t="s">
        <v>33</v>
      </c>
      <c r="K274" s="39" t="s">
        <v>965</v>
      </c>
      <c r="L274" s="39"/>
      <c r="M274" s="39"/>
      <c r="N274" s="39"/>
      <c r="O274" s="40"/>
    </row>
    <row r="275" spans="1:15" x14ac:dyDescent="0.55000000000000004">
      <c r="A275" s="24" t="str">
        <f>IF(COUNTIF(B275:$B$5014,B275)&gt;1,IF(COUNTIF($B$5:B275,B275)&gt;1,"",B275&amp;"-I"),B275)</f>
        <v/>
      </c>
      <c r="B275" s="29">
        <f t="shared" si="4"/>
        <v>969</v>
      </c>
      <c r="C275" s="36" t="s">
        <v>291</v>
      </c>
      <c r="D275" s="53">
        <v>417</v>
      </c>
      <c r="E275" s="53"/>
      <c r="F275" s="53" t="s">
        <v>12</v>
      </c>
      <c r="G275" s="54">
        <v>41572</v>
      </c>
      <c r="H275" s="53"/>
      <c r="I275" s="53">
        <v>969</v>
      </c>
      <c r="J275" s="39" t="s">
        <v>33</v>
      </c>
      <c r="K275" s="39" t="s">
        <v>965</v>
      </c>
      <c r="L275" s="39"/>
      <c r="M275" s="39"/>
      <c r="N275" s="39"/>
      <c r="O275" s="40"/>
    </row>
    <row r="276" spans="1:15" x14ac:dyDescent="0.55000000000000004">
      <c r="A276" s="24" t="str">
        <f>IF(COUNTIF(B276:$B$5014,B276)&gt;1,IF(COUNTIF($B$5:B276,B276)&gt;1,"",B276&amp;"-I"),B276)</f>
        <v/>
      </c>
      <c r="B276" s="29">
        <f t="shared" si="4"/>
        <v>881</v>
      </c>
      <c r="C276" s="36" t="s">
        <v>292</v>
      </c>
      <c r="D276" s="53">
        <v>418</v>
      </c>
      <c r="E276" s="53"/>
      <c r="F276" s="53" t="s">
        <v>12</v>
      </c>
      <c r="G276" s="54">
        <v>41607</v>
      </c>
      <c r="H276" s="53"/>
      <c r="I276" s="53">
        <v>881</v>
      </c>
      <c r="J276" s="39" t="s">
        <v>33</v>
      </c>
      <c r="K276" s="39" t="s">
        <v>965</v>
      </c>
      <c r="L276" s="39"/>
      <c r="M276" s="39"/>
      <c r="N276" s="39"/>
      <c r="O276" s="40"/>
    </row>
    <row r="277" spans="1:15" x14ac:dyDescent="0.55000000000000004">
      <c r="A277" s="24" t="str">
        <f>IF(COUNTIF(B277:$B$5014,B277)&gt;1,IF(COUNTIF($B$5:B277,B277)&gt;1,"",B277&amp;"-I"),B277)</f>
        <v/>
      </c>
      <c r="B277" s="29">
        <f t="shared" si="4"/>
        <v>869</v>
      </c>
      <c r="C277" s="36" t="s">
        <v>293</v>
      </c>
      <c r="D277" s="53">
        <v>420</v>
      </c>
      <c r="E277" s="53"/>
      <c r="F277" s="53" t="s">
        <v>11</v>
      </c>
      <c r="G277" s="54">
        <v>41607</v>
      </c>
      <c r="H277" s="53"/>
      <c r="I277" s="53">
        <v>869</v>
      </c>
      <c r="J277" s="39" t="s">
        <v>33</v>
      </c>
      <c r="K277" s="39" t="s">
        <v>965</v>
      </c>
      <c r="L277" s="39"/>
      <c r="M277" s="39"/>
      <c r="N277" s="39"/>
      <c r="O277" s="40"/>
    </row>
    <row r="278" spans="1:15" x14ac:dyDescent="0.55000000000000004">
      <c r="A278" s="24" t="str">
        <f>IF(COUNTIF(B278:$B$5014,B278)&gt;1,IF(COUNTIF($B$5:B278,B278)&gt;1,"",B278&amp;"-I"),B278)</f>
        <v/>
      </c>
      <c r="B278" s="29">
        <f t="shared" si="4"/>
        <v>958</v>
      </c>
      <c r="C278" s="36" t="s">
        <v>294</v>
      </c>
      <c r="D278" s="53">
        <v>421</v>
      </c>
      <c r="E278" s="53"/>
      <c r="F278" s="53" t="s">
        <v>11</v>
      </c>
      <c r="G278" s="54">
        <v>41619</v>
      </c>
      <c r="H278" s="53"/>
      <c r="I278" s="53">
        <v>958</v>
      </c>
      <c r="J278" s="39" t="s">
        <v>33</v>
      </c>
      <c r="K278" s="39" t="s">
        <v>965</v>
      </c>
      <c r="L278" s="39"/>
      <c r="M278" s="39"/>
      <c r="N278" s="39"/>
      <c r="O278" s="40"/>
    </row>
    <row r="279" spans="1:15" x14ac:dyDescent="0.55000000000000004">
      <c r="A279" s="24" t="str">
        <f>IF(COUNTIF(B279:$B$5014,B279)&gt;1,IF(COUNTIF($B$5:B279,B279)&gt;1,"",B279&amp;"-I"),B279)</f>
        <v/>
      </c>
      <c r="B279" s="29">
        <f t="shared" si="4"/>
        <v>870</v>
      </c>
      <c r="C279" s="36" t="s">
        <v>295</v>
      </c>
      <c r="D279" s="53" t="s">
        <v>13</v>
      </c>
      <c r="E279" s="53"/>
      <c r="F279" s="53" t="s">
        <v>12</v>
      </c>
      <c r="G279" s="54">
        <v>41467</v>
      </c>
      <c r="H279" s="53"/>
      <c r="I279" s="53">
        <v>870</v>
      </c>
      <c r="J279" s="39" t="s">
        <v>33</v>
      </c>
      <c r="K279" s="39" t="s">
        <v>965</v>
      </c>
      <c r="L279" s="39"/>
      <c r="M279" s="39"/>
      <c r="N279" s="39"/>
      <c r="O279" s="40"/>
    </row>
    <row r="280" spans="1:15" x14ac:dyDescent="0.55000000000000004">
      <c r="A280" s="24" t="str">
        <f>IF(COUNTIF(B280:$B$5014,B280)&gt;1,IF(COUNTIF($B$5:B280,B280)&gt;1,"",B280&amp;"-I"),B280)</f>
        <v/>
      </c>
      <c r="B280" s="29">
        <f t="shared" si="4"/>
        <v>865</v>
      </c>
      <c r="C280" s="85" t="s">
        <v>296</v>
      </c>
      <c r="D280" s="72" t="s">
        <v>13</v>
      </c>
      <c r="E280" s="53"/>
      <c r="F280" s="72" t="s">
        <v>12</v>
      </c>
      <c r="G280" s="86">
        <v>41535</v>
      </c>
      <c r="H280" s="53"/>
      <c r="I280" s="72">
        <v>865</v>
      </c>
      <c r="J280" s="47" t="s">
        <v>33</v>
      </c>
      <c r="K280" s="39" t="s">
        <v>965</v>
      </c>
      <c r="L280" s="39"/>
      <c r="M280" s="39"/>
      <c r="N280" s="39"/>
      <c r="O280" s="40"/>
    </row>
    <row r="281" spans="1:15" x14ac:dyDescent="0.55000000000000004">
      <c r="A281" s="24" t="str">
        <f>IF(COUNTIF(B281:$B$5014,B281)&gt;1,IF(COUNTIF($B$5:B281,B281)&gt;1,"",B281&amp;"-I"),B281)</f>
        <v/>
      </c>
      <c r="B281" s="29">
        <f t="shared" si="4"/>
        <v>936</v>
      </c>
      <c r="C281" s="85" t="s">
        <v>297</v>
      </c>
      <c r="D281" s="72">
        <v>422</v>
      </c>
      <c r="E281" s="72" t="s">
        <v>833</v>
      </c>
      <c r="F281" s="72" t="s">
        <v>12</v>
      </c>
      <c r="G281" s="86">
        <v>41659</v>
      </c>
      <c r="H281" s="72" t="s">
        <v>839</v>
      </c>
      <c r="I281" s="72">
        <v>936</v>
      </c>
      <c r="J281" s="47" t="s">
        <v>33</v>
      </c>
      <c r="K281" s="47" t="s">
        <v>1157</v>
      </c>
      <c r="L281" s="39" t="s">
        <v>838</v>
      </c>
      <c r="M281" s="87">
        <v>42028</v>
      </c>
      <c r="N281" s="47" t="s">
        <v>864</v>
      </c>
      <c r="O281" s="50" t="s">
        <v>864</v>
      </c>
    </row>
    <row r="282" spans="1:15" x14ac:dyDescent="0.55000000000000004">
      <c r="A282" s="24" t="str">
        <f>IF(COUNTIF(B282:$B$5014,B282)&gt;1,IF(COUNTIF($B$5:B282,B282)&gt;1,"",B282&amp;"-I"),B282)</f>
        <v/>
      </c>
      <c r="B282" s="29">
        <f t="shared" si="4"/>
        <v>939</v>
      </c>
      <c r="C282" s="36" t="s">
        <v>298</v>
      </c>
      <c r="D282" s="53">
        <v>424</v>
      </c>
      <c r="E282" s="53" t="s">
        <v>833</v>
      </c>
      <c r="F282" s="53" t="s">
        <v>12</v>
      </c>
      <c r="G282" s="54">
        <v>41827</v>
      </c>
      <c r="H282" s="53">
        <v>1043</v>
      </c>
      <c r="I282" s="53">
        <v>939</v>
      </c>
      <c r="J282" s="39" t="s">
        <v>33</v>
      </c>
      <c r="K282" s="39" t="s">
        <v>1087</v>
      </c>
      <c r="L282" s="39"/>
      <c r="M282" s="37">
        <v>42799</v>
      </c>
      <c r="N282" s="39">
        <v>5.48</v>
      </c>
      <c r="O282" s="40">
        <v>904</v>
      </c>
    </row>
    <row r="283" spans="1:15" x14ac:dyDescent="0.55000000000000004">
      <c r="A283" s="24" t="str">
        <f>IF(COUNTIF(B283:$B$5014,B283)&gt;1,IF(COUNTIF($B$5:B283,B283)&gt;1,"",B283&amp;"-I"),B283)</f>
        <v/>
      </c>
      <c r="B283" s="29">
        <f t="shared" si="4"/>
        <v>956</v>
      </c>
      <c r="C283" s="36" t="s">
        <v>299</v>
      </c>
      <c r="D283" s="53">
        <v>425</v>
      </c>
      <c r="E283" s="53" t="s">
        <v>833</v>
      </c>
      <c r="F283" s="53" t="s">
        <v>12</v>
      </c>
      <c r="G283" s="54">
        <v>41829</v>
      </c>
      <c r="H283" s="53">
        <v>1055</v>
      </c>
      <c r="I283" s="53">
        <v>956</v>
      </c>
      <c r="J283" s="39" t="s">
        <v>33</v>
      </c>
      <c r="K283" s="39" t="s">
        <v>1087</v>
      </c>
      <c r="L283" s="39"/>
      <c r="M283" s="37">
        <v>42799</v>
      </c>
      <c r="N283" s="39">
        <v>5.48</v>
      </c>
      <c r="O283" s="40">
        <v>904</v>
      </c>
    </row>
    <row r="284" spans="1:15" x14ac:dyDescent="0.55000000000000004">
      <c r="A284" s="24" t="str">
        <f>IF(COUNTIF(B284:$B$5014,B284)&gt;1,IF(COUNTIF($B$5:B284,B284)&gt;1,"",B284&amp;"-I"),B284)</f>
        <v/>
      </c>
      <c r="B284" s="29">
        <f t="shared" si="4"/>
        <v>947</v>
      </c>
      <c r="C284" s="36" t="s">
        <v>300</v>
      </c>
      <c r="D284" s="53">
        <v>426</v>
      </c>
      <c r="E284" s="53" t="s">
        <v>834</v>
      </c>
      <c r="F284" s="53" t="s">
        <v>11</v>
      </c>
      <c r="G284" s="54">
        <v>41828</v>
      </c>
      <c r="H284" s="53">
        <v>1043</v>
      </c>
      <c r="I284" s="53">
        <v>947</v>
      </c>
      <c r="J284" s="39" t="s">
        <v>33</v>
      </c>
      <c r="K284" s="39" t="s">
        <v>1087</v>
      </c>
      <c r="L284" s="39"/>
      <c r="M284" s="37">
        <v>42799</v>
      </c>
      <c r="N284" s="39">
        <v>5.48</v>
      </c>
      <c r="O284" s="40">
        <v>904</v>
      </c>
    </row>
    <row r="285" spans="1:15" x14ac:dyDescent="0.55000000000000004">
      <c r="A285" s="24" t="str">
        <f>IF(COUNTIF(B285:$B$5014,B285)&gt;1,IF(COUNTIF($B$5:B285,B285)&gt;1,"",B285&amp;"-I"),B285)</f>
        <v/>
      </c>
      <c r="B285" s="29">
        <f t="shared" si="4"/>
        <v>877</v>
      </c>
      <c r="C285" s="36" t="s">
        <v>301</v>
      </c>
      <c r="D285" s="53">
        <v>427</v>
      </c>
      <c r="E285" s="53" t="s">
        <v>833</v>
      </c>
      <c r="F285" s="53" t="s">
        <v>11</v>
      </c>
      <c r="G285" s="54">
        <v>41833</v>
      </c>
      <c r="H285" s="53">
        <v>1055</v>
      </c>
      <c r="I285" s="53">
        <v>877</v>
      </c>
      <c r="J285" s="39" t="s">
        <v>33</v>
      </c>
      <c r="K285" s="39" t="s">
        <v>1087</v>
      </c>
      <c r="L285" s="39"/>
      <c r="M285" s="37">
        <v>42799</v>
      </c>
      <c r="N285" s="39">
        <v>5.48</v>
      </c>
      <c r="O285" s="40">
        <v>904</v>
      </c>
    </row>
    <row r="286" spans="1:15" x14ac:dyDescent="0.55000000000000004">
      <c r="A286" s="24" t="str">
        <f>IF(COUNTIF(B286:$B$5014,B286)&gt;1,IF(COUNTIF($B$5:B286,B286)&gt;1,"",B286&amp;"-I"),B286)</f>
        <v/>
      </c>
      <c r="B286" s="29">
        <f t="shared" si="4"/>
        <v>951</v>
      </c>
      <c r="C286" s="36" t="s">
        <v>302</v>
      </c>
      <c r="D286" s="53">
        <v>429</v>
      </c>
      <c r="E286" s="53" t="s">
        <v>833</v>
      </c>
      <c r="F286" s="53" t="s">
        <v>11</v>
      </c>
      <c r="G286" s="54">
        <v>41838</v>
      </c>
      <c r="H286" s="53">
        <v>1055</v>
      </c>
      <c r="I286" s="53">
        <v>951</v>
      </c>
      <c r="J286" s="39" t="s">
        <v>33</v>
      </c>
      <c r="K286" s="39" t="s">
        <v>1087</v>
      </c>
      <c r="L286" s="39"/>
      <c r="M286" s="37">
        <v>42799</v>
      </c>
      <c r="N286" s="39">
        <v>5.48</v>
      </c>
      <c r="O286" s="40">
        <v>904</v>
      </c>
    </row>
    <row r="287" spans="1:15" x14ac:dyDescent="0.55000000000000004">
      <c r="A287" s="24" t="str">
        <f>IF(COUNTIF(B287:$B$5014,B287)&gt;1,IF(COUNTIF($B$5:B287,B287)&gt;1,"",B287&amp;"-I"),B287)</f>
        <v/>
      </c>
      <c r="B287" s="29">
        <f t="shared" si="4"/>
        <v>959</v>
      </c>
      <c r="C287" s="36" t="s">
        <v>303</v>
      </c>
      <c r="D287" s="53">
        <v>430</v>
      </c>
      <c r="E287" s="53" t="s">
        <v>834</v>
      </c>
      <c r="F287" s="53" t="s">
        <v>12</v>
      </c>
      <c r="G287" s="54">
        <v>41839</v>
      </c>
      <c r="H287" s="53">
        <v>1055</v>
      </c>
      <c r="I287" s="53">
        <v>959</v>
      </c>
      <c r="J287" s="39" t="s">
        <v>33</v>
      </c>
      <c r="K287" s="39" t="s">
        <v>1087</v>
      </c>
      <c r="L287" s="39"/>
      <c r="M287" s="37">
        <v>42799</v>
      </c>
      <c r="N287" s="39">
        <v>5.48</v>
      </c>
      <c r="O287" s="40">
        <v>904</v>
      </c>
    </row>
    <row r="288" spans="1:15" x14ac:dyDescent="0.55000000000000004">
      <c r="A288" s="24" t="str">
        <f>IF(COUNTIF(B288:$B$5014,B288)&gt;1,IF(COUNTIF($B$5:B288,B288)&gt;1,"",B288&amp;"-I"),B288)</f>
        <v/>
      </c>
      <c r="B288" s="29">
        <f t="shared" si="4"/>
        <v>860</v>
      </c>
      <c r="C288" s="36" t="s">
        <v>304</v>
      </c>
      <c r="D288" s="53">
        <v>431</v>
      </c>
      <c r="E288" s="53" t="s">
        <v>833</v>
      </c>
      <c r="F288" s="53" t="s">
        <v>11</v>
      </c>
      <c r="G288" s="54">
        <v>41840</v>
      </c>
      <c r="H288" s="53">
        <v>1055</v>
      </c>
      <c r="I288" s="53">
        <v>860</v>
      </c>
      <c r="J288" s="39" t="s">
        <v>33</v>
      </c>
      <c r="K288" s="39" t="s">
        <v>1087</v>
      </c>
      <c r="L288" s="39"/>
      <c r="M288" s="37">
        <v>42799</v>
      </c>
      <c r="N288" s="39">
        <v>5.48</v>
      </c>
      <c r="O288" s="40">
        <v>904</v>
      </c>
    </row>
    <row r="289" spans="1:15" x14ac:dyDescent="0.55000000000000004">
      <c r="A289" s="24" t="str">
        <f>IF(COUNTIF(B289:$B$5014,B289)&gt;1,IF(COUNTIF($B$5:B289,B289)&gt;1,"",B289&amp;"-I"),B289)</f>
        <v/>
      </c>
      <c r="B289" s="29">
        <f t="shared" si="4"/>
        <v>873</v>
      </c>
      <c r="C289" s="36" t="s">
        <v>305</v>
      </c>
      <c r="D289" s="53">
        <v>433</v>
      </c>
      <c r="E289" s="53" t="s">
        <v>834</v>
      </c>
      <c r="F289" s="53" t="s">
        <v>11</v>
      </c>
      <c r="G289" s="54">
        <v>41840</v>
      </c>
      <c r="H289" s="53">
        <v>1043</v>
      </c>
      <c r="I289" s="53">
        <v>873</v>
      </c>
      <c r="J289" s="39" t="s">
        <v>33</v>
      </c>
      <c r="K289" s="39" t="s">
        <v>1087</v>
      </c>
      <c r="L289" s="39"/>
      <c r="M289" s="37">
        <v>42799</v>
      </c>
      <c r="N289" s="39">
        <v>5.48</v>
      </c>
      <c r="O289" s="40">
        <v>904</v>
      </c>
    </row>
    <row r="290" spans="1:15" x14ac:dyDescent="0.55000000000000004">
      <c r="A290" s="24" t="str">
        <f>IF(COUNTIF(B290:$B$5014,B290)&gt;1,IF(COUNTIF($B$5:B290,B290)&gt;1,"",B290&amp;"-I"),B290)</f>
        <v/>
      </c>
      <c r="B290" s="29">
        <f t="shared" si="4"/>
        <v>897</v>
      </c>
      <c r="C290" s="36" t="s">
        <v>306</v>
      </c>
      <c r="D290" s="53">
        <v>434</v>
      </c>
      <c r="E290" s="53" t="s">
        <v>833</v>
      </c>
      <c r="F290" s="53" t="s">
        <v>11</v>
      </c>
      <c r="G290" s="54">
        <v>41840</v>
      </c>
      <c r="H290" s="53">
        <v>1055</v>
      </c>
      <c r="I290" s="53">
        <v>897</v>
      </c>
      <c r="J290" s="39" t="s">
        <v>33</v>
      </c>
      <c r="K290" s="39" t="s">
        <v>1087</v>
      </c>
      <c r="L290" s="39"/>
      <c r="M290" s="37">
        <v>42799</v>
      </c>
      <c r="N290" s="39">
        <v>5.48</v>
      </c>
      <c r="O290" s="40">
        <v>904</v>
      </c>
    </row>
    <row r="291" spans="1:15" x14ac:dyDescent="0.55000000000000004">
      <c r="A291" s="24" t="str">
        <f>IF(COUNTIF(B291:$B$5014,B291)&gt;1,IF(COUNTIF($B$5:B291,B291)&gt;1,"",B291&amp;"-I"),B291)</f>
        <v/>
      </c>
      <c r="B291" s="29">
        <f t="shared" si="4"/>
        <v>890</v>
      </c>
      <c r="C291" s="36" t="s">
        <v>307</v>
      </c>
      <c r="D291" s="53">
        <v>435</v>
      </c>
      <c r="E291" s="53" t="s">
        <v>833</v>
      </c>
      <c r="F291" s="53" t="s">
        <v>12</v>
      </c>
      <c r="G291" s="54">
        <v>41840</v>
      </c>
      <c r="H291" s="53">
        <v>1043</v>
      </c>
      <c r="I291" s="53">
        <v>890</v>
      </c>
      <c r="J291" s="39" t="s">
        <v>33</v>
      </c>
      <c r="K291" s="39" t="s">
        <v>1087</v>
      </c>
      <c r="L291" s="39"/>
      <c r="M291" s="37">
        <v>42799</v>
      </c>
      <c r="N291" s="39">
        <v>5.48</v>
      </c>
      <c r="O291" s="40">
        <v>904</v>
      </c>
    </row>
    <row r="292" spans="1:15" x14ac:dyDescent="0.55000000000000004">
      <c r="A292" s="24" t="str">
        <f>IF(COUNTIF(B292:$B$5014,B292)&gt;1,IF(COUNTIF($B$5:B292,B292)&gt;1,"",B292&amp;"-I"),B292)</f>
        <v/>
      </c>
      <c r="B292" s="29">
        <f t="shared" si="4"/>
        <v>966</v>
      </c>
      <c r="C292" s="36" t="s">
        <v>308</v>
      </c>
      <c r="D292" s="53">
        <v>437</v>
      </c>
      <c r="E292" s="53" t="s">
        <v>834</v>
      </c>
      <c r="F292" s="53" t="s">
        <v>11</v>
      </c>
      <c r="G292" s="54">
        <v>41844</v>
      </c>
      <c r="H292" s="53">
        <v>1043</v>
      </c>
      <c r="I292" s="53">
        <v>966</v>
      </c>
      <c r="J292" s="39" t="s">
        <v>33</v>
      </c>
      <c r="K292" s="39" t="s">
        <v>1087</v>
      </c>
      <c r="L292" s="39"/>
      <c r="M292" s="37">
        <v>42799</v>
      </c>
      <c r="N292" s="39">
        <v>5.48</v>
      </c>
      <c r="O292" s="40">
        <v>904</v>
      </c>
    </row>
    <row r="293" spans="1:15" x14ac:dyDescent="0.55000000000000004">
      <c r="A293" s="24" t="str">
        <f>IF(COUNTIF(B293:$B$5014,B293)&gt;1,IF(COUNTIF($B$5:B293,B293)&gt;1,"",B293&amp;"-I"),B293)</f>
        <v/>
      </c>
      <c r="B293" s="29">
        <f t="shared" si="4"/>
        <v>967</v>
      </c>
      <c r="C293" s="36" t="s">
        <v>309</v>
      </c>
      <c r="D293" s="53">
        <v>438</v>
      </c>
      <c r="E293" s="53" t="s">
        <v>833</v>
      </c>
      <c r="F293" s="53" t="s">
        <v>11</v>
      </c>
      <c r="G293" s="54">
        <v>41844</v>
      </c>
      <c r="H293" s="53">
        <v>1055</v>
      </c>
      <c r="I293" s="53">
        <v>967</v>
      </c>
      <c r="J293" s="39" t="s">
        <v>33</v>
      </c>
      <c r="K293" s="39" t="s">
        <v>1087</v>
      </c>
      <c r="L293" s="39"/>
      <c r="M293" s="37">
        <v>42799</v>
      </c>
      <c r="N293" s="39">
        <v>5.48</v>
      </c>
      <c r="O293" s="40">
        <v>904</v>
      </c>
    </row>
    <row r="294" spans="1:15" x14ac:dyDescent="0.55000000000000004">
      <c r="A294" s="24" t="str">
        <f>IF(COUNTIF(B294:$B$5014,B294)&gt;1,IF(COUNTIF($B$5:B294,B294)&gt;1,"",B294&amp;"-I"),B294)</f>
        <v/>
      </c>
      <c r="B294" s="29">
        <f t="shared" si="4"/>
        <v>934</v>
      </c>
      <c r="C294" s="36" t="s">
        <v>310</v>
      </c>
      <c r="D294" s="53">
        <v>439</v>
      </c>
      <c r="E294" s="53" t="s">
        <v>834</v>
      </c>
      <c r="F294" s="53" t="s">
        <v>11</v>
      </c>
      <c r="G294" s="54">
        <v>41845</v>
      </c>
      <c r="H294" s="53">
        <v>1055</v>
      </c>
      <c r="I294" s="53">
        <v>934</v>
      </c>
      <c r="J294" s="39" t="s">
        <v>33</v>
      </c>
      <c r="K294" s="39" t="s">
        <v>1087</v>
      </c>
      <c r="L294" s="39"/>
      <c r="M294" s="37">
        <v>42799</v>
      </c>
      <c r="N294" s="39">
        <v>5.48</v>
      </c>
      <c r="O294" s="40">
        <v>904</v>
      </c>
    </row>
    <row r="295" spans="1:15" x14ac:dyDescent="0.55000000000000004">
      <c r="A295" s="24" t="str">
        <f>IF(COUNTIF(B295:$B$5014,B295)&gt;1,IF(COUNTIF($B$5:B295,B295)&gt;1,"",B295&amp;"-I"),B295)</f>
        <v/>
      </c>
      <c r="B295" s="29">
        <f t="shared" si="4"/>
        <v>899</v>
      </c>
      <c r="C295" s="36" t="s">
        <v>311</v>
      </c>
      <c r="D295" s="53">
        <v>440</v>
      </c>
      <c r="E295" s="53" t="s">
        <v>833</v>
      </c>
      <c r="F295" s="53" t="s">
        <v>11</v>
      </c>
      <c r="G295" s="54">
        <v>41850</v>
      </c>
      <c r="H295" s="53">
        <v>1043</v>
      </c>
      <c r="I295" s="53">
        <v>899</v>
      </c>
      <c r="J295" s="39" t="s">
        <v>33</v>
      </c>
      <c r="K295" s="39" t="s">
        <v>1087</v>
      </c>
      <c r="L295" s="39"/>
      <c r="M295" s="37">
        <v>42068</v>
      </c>
      <c r="N295" s="39">
        <v>5.48</v>
      </c>
      <c r="O295" s="40">
        <v>904</v>
      </c>
    </row>
    <row r="296" spans="1:15" x14ac:dyDescent="0.55000000000000004">
      <c r="A296" s="24" t="str">
        <f>IF(COUNTIF(B296:$B$5014,B296)&gt;1,IF(COUNTIF($B$5:B296,B296)&gt;1,"",B296&amp;"-I"),B296)</f>
        <v/>
      </c>
      <c r="B296" s="29">
        <f t="shared" si="4"/>
        <v>943</v>
      </c>
      <c r="C296" s="36" t="s">
        <v>312</v>
      </c>
      <c r="D296" s="53">
        <v>441</v>
      </c>
      <c r="E296" s="53" t="s">
        <v>833</v>
      </c>
      <c r="F296" s="53" t="s">
        <v>11</v>
      </c>
      <c r="G296" s="54">
        <v>41851</v>
      </c>
      <c r="H296" s="53">
        <v>1055</v>
      </c>
      <c r="I296" s="53">
        <v>943</v>
      </c>
      <c r="J296" s="39" t="s">
        <v>33</v>
      </c>
      <c r="K296" s="39" t="s">
        <v>1087</v>
      </c>
      <c r="L296" s="39"/>
      <c r="M296" s="37">
        <v>42068</v>
      </c>
      <c r="N296" s="39">
        <v>5.48</v>
      </c>
      <c r="O296" s="40">
        <v>904</v>
      </c>
    </row>
    <row r="297" spans="1:15" x14ac:dyDescent="0.55000000000000004">
      <c r="A297" s="24" t="str">
        <f>IF(COUNTIF(B297:$B$5014,B297)&gt;1,IF(COUNTIF($B$5:B297,B297)&gt;1,"",B297&amp;"-I"),B297)</f>
        <v/>
      </c>
      <c r="B297" s="29">
        <f t="shared" si="4"/>
        <v>926</v>
      </c>
      <c r="C297" s="36" t="s">
        <v>313</v>
      </c>
      <c r="D297" s="53">
        <v>442</v>
      </c>
      <c r="E297" s="53" t="s">
        <v>833</v>
      </c>
      <c r="F297" s="53" t="s">
        <v>11</v>
      </c>
      <c r="G297" s="54">
        <v>41850</v>
      </c>
      <c r="H297" s="53">
        <v>1055</v>
      </c>
      <c r="I297" s="53">
        <v>926</v>
      </c>
      <c r="J297" s="39" t="s">
        <v>33</v>
      </c>
      <c r="K297" s="39" t="s">
        <v>1087</v>
      </c>
      <c r="L297" s="39"/>
      <c r="M297" s="37">
        <v>42068</v>
      </c>
      <c r="N297" s="39">
        <v>5.48</v>
      </c>
      <c r="O297" s="40">
        <v>904</v>
      </c>
    </row>
    <row r="298" spans="1:15" x14ac:dyDescent="0.55000000000000004">
      <c r="A298" s="24" t="str">
        <f>IF(COUNTIF(B298:$B$5014,B298)&gt;1,IF(COUNTIF($B$5:B298,B298)&gt;1,"",B298&amp;"-I"),B298)</f>
        <v/>
      </c>
      <c r="B298" s="29">
        <f t="shared" si="4"/>
        <v>874</v>
      </c>
      <c r="C298" s="36" t="s">
        <v>314</v>
      </c>
      <c r="D298" s="53">
        <v>443</v>
      </c>
      <c r="E298" s="53" t="s">
        <v>833</v>
      </c>
      <c r="F298" s="53" t="s">
        <v>11</v>
      </c>
      <c r="G298" s="54">
        <v>41853</v>
      </c>
      <c r="H298" s="53">
        <v>1055</v>
      </c>
      <c r="I298" s="53">
        <v>874</v>
      </c>
      <c r="J298" s="39" t="s">
        <v>33</v>
      </c>
      <c r="K298" s="39" t="s">
        <v>1087</v>
      </c>
      <c r="L298" s="39"/>
      <c r="M298" s="37">
        <v>42068</v>
      </c>
      <c r="N298" s="39">
        <v>5.48</v>
      </c>
      <c r="O298" s="40">
        <v>904</v>
      </c>
    </row>
    <row r="299" spans="1:15" x14ac:dyDescent="0.55000000000000004">
      <c r="A299" s="24" t="str">
        <f>IF(COUNTIF(B299:$B$5014,B299)&gt;1,IF(COUNTIF($B$5:B299,B299)&gt;1,"",B299&amp;"-I"),B299)</f>
        <v/>
      </c>
      <c r="B299" s="29">
        <f t="shared" si="4"/>
        <v>900</v>
      </c>
      <c r="C299" s="36" t="s">
        <v>315</v>
      </c>
      <c r="D299" s="53">
        <v>444</v>
      </c>
      <c r="E299" s="53" t="s">
        <v>834</v>
      </c>
      <c r="F299" s="53" t="s">
        <v>11</v>
      </c>
      <c r="G299" s="54">
        <v>41855</v>
      </c>
      <c r="H299" s="53">
        <v>1055</v>
      </c>
      <c r="I299" s="53">
        <v>900</v>
      </c>
      <c r="J299" s="39" t="s">
        <v>33</v>
      </c>
      <c r="K299" s="39" t="s">
        <v>1087</v>
      </c>
      <c r="L299" s="39"/>
      <c r="M299" s="37">
        <v>42068</v>
      </c>
      <c r="N299" s="39">
        <v>5.48</v>
      </c>
      <c r="O299" s="40">
        <v>904</v>
      </c>
    </row>
    <row r="300" spans="1:15" x14ac:dyDescent="0.55000000000000004">
      <c r="A300" s="24" t="str">
        <f>IF(COUNTIF(B300:$B$5014,B300)&gt;1,IF(COUNTIF($B$5:B300,B300)&gt;1,"",B300&amp;"-I"),B300)</f>
        <v/>
      </c>
      <c r="B300" s="29">
        <f t="shared" si="4"/>
        <v>965</v>
      </c>
      <c r="C300" s="36" t="s">
        <v>316</v>
      </c>
      <c r="D300" s="53">
        <v>445</v>
      </c>
      <c r="E300" s="53" t="s">
        <v>833</v>
      </c>
      <c r="F300" s="53" t="s">
        <v>12</v>
      </c>
      <c r="G300" s="54">
        <v>41855</v>
      </c>
      <c r="H300" s="53">
        <v>1055</v>
      </c>
      <c r="I300" s="53">
        <v>965</v>
      </c>
      <c r="J300" s="39" t="s">
        <v>33</v>
      </c>
      <c r="K300" s="39" t="s">
        <v>1087</v>
      </c>
      <c r="L300" s="39"/>
      <c r="M300" s="37">
        <v>42068</v>
      </c>
      <c r="N300" s="39">
        <v>5.48</v>
      </c>
      <c r="O300" s="40">
        <v>904</v>
      </c>
    </row>
    <row r="301" spans="1:15" x14ac:dyDescent="0.55000000000000004">
      <c r="A301" s="24" t="str">
        <f>IF(COUNTIF(B301:$B$5014,B301)&gt;1,IF(COUNTIF($B$5:B301,B301)&gt;1,"",B301&amp;"-I"),B301)</f>
        <v/>
      </c>
      <c r="B301" s="29">
        <f t="shared" si="4"/>
        <v>929</v>
      </c>
      <c r="C301" s="36" t="s">
        <v>317</v>
      </c>
      <c r="D301" s="53">
        <v>446</v>
      </c>
      <c r="E301" s="53" t="s">
        <v>833</v>
      </c>
      <c r="F301" s="53" t="s">
        <v>11</v>
      </c>
      <c r="G301" s="54">
        <v>41888</v>
      </c>
      <c r="H301" s="53">
        <v>1055</v>
      </c>
      <c r="I301" s="53">
        <v>929</v>
      </c>
      <c r="J301" s="39" t="s">
        <v>33</v>
      </c>
      <c r="K301" s="39" t="s">
        <v>1087</v>
      </c>
      <c r="L301" s="39"/>
      <c r="M301" s="37">
        <v>42068</v>
      </c>
      <c r="N301" s="39">
        <v>5.48</v>
      </c>
      <c r="O301" s="40">
        <v>904</v>
      </c>
    </row>
    <row r="302" spans="1:15" x14ac:dyDescent="0.55000000000000004">
      <c r="A302" s="24" t="str">
        <f>IF(COUNTIF(B302:$B$5014,B302)&gt;1,IF(COUNTIF($B$5:B302,B302)&gt;1,"",B302&amp;"-I"),B302)</f>
        <v/>
      </c>
      <c r="B302" s="29">
        <f t="shared" si="4"/>
        <v>944</v>
      </c>
      <c r="C302" s="36" t="s">
        <v>318</v>
      </c>
      <c r="D302" s="53">
        <v>447</v>
      </c>
      <c r="E302" s="53" t="s">
        <v>833</v>
      </c>
      <c r="F302" s="53" t="s">
        <v>12</v>
      </c>
      <c r="G302" s="54">
        <v>41857</v>
      </c>
      <c r="H302" s="53">
        <v>1055</v>
      </c>
      <c r="I302" s="53">
        <v>944</v>
      </c>
      <c r="J302" s="39" t="s">
        <v>33</v>
      </c>
      <c r="K302" s="39" t="s">
        <v>1087</v>
      </c>
      <c r="L302" s="39"/>
      <c r="M302" s="37">
        <v>42068</v>
      </c>
      <c r="N302" s="39">
        <v>5.48</v>
      </c>
      <c r="O302" s="40">
        <v>904</v>
      </c>
    </row>
    <row r="303" spans="1:15" x14ac:dyDescent="0.55000000000000004">
      <c r="A303" s="24" t="str">
        <f>IF(COUNTIF(B303:$B$5014,B303)&gt;1,IF(COUNTIF($B$5:B303,B303)&gt;1,"",B303&amp;"-I"),B303)</f>
        <v/>
      </c>
      <c r="B303" s="29">
        <f t="shared" si="4"/>
        <v>950</v>
      </c>
      <c r="C303" s="36" t="s">
        <v>319</v>
      </c>
      <c r="D303" s="53">
        <v>449</v>
      </c>
      <c r="E303" s="53" t="s">
        <v>833</v>
      </c>
      <c r="F303" s="53" t="s">
        <v>12</v>
      </c>
      <c r="G303" s="54">
        <v>41859</v>
      </c>
      <c r="H303" s="53">
        <v>1055</v>
      </c>
      <c r="I303" s="53">
        <v>950</v>
      </c>
      <c r="J303" s="39" t="s">
        <v>33</v>
      </c>
      <c r="K303" s="39" t="s">
        <v>1087</v>
      </c>
      <c r="L303" s="39"/>
      <c r="M303" s="37">
        <v>42068</v>
      </c>
      <c r="N303" s="39">
        <v>5.48</v>
      </c>
      <c r="O303" s="40">
        <v>904</v>
      </c>
    </row>
    <row r="304" spans="1:15" x14ac:dyDescent="0.55000000000000004">
      <c r="A304" s="24" t="str">
        <f>IF(COUNTIF(B304:$B$5014,B304)&gt;1,IF(COUNTIF($B$5:B304,B304)&gt;1,"",B304&amp;"-I"),B304)</f>
        <v/>
      </c>
      <c r="B304" s="29">
        <f t="shared" si="4"/>
        <v>870</v>
      </c>
      <c r="C304" s="36" t="s">
        <v>320</v>
      </c>
      <c r="D304" s="53">
        <v>450</v>
      </c>
      <c r="E304" s="53" t="s">
        <v>833</v>
      </c>
      <c r="F304" s="53" t="s">
        <v>11</v>
      </c>
      <c r="G304" s="54">
        <v>41867</v>
      </c>
      <c r="H304" s="53">
        <v>1055</v>
      </c>
      <c r="I304" s="53">
        <v>870</v>
      </c>
      <c r="J304" s="39" t="s">
        <v>33</v>
      </c>
      <c r="K304" s="39" t="s">
        <v>1087</v>
      </c>
      <c r="L304" s="39"/>
      <c r="M304" s="37">
        <v>42068</v>
      </c>
      <c r="N304" s="39">
        <v>5.48</v>
      </c>
      <c r="O304" s="40">
        <v>904</v>
      </c>
    </row>
    <row r="305" spans="1:15" x14ac:dyDescent="0.55000000000000004">
      <c r="A305" s="24" t="str">
        <f>IF(COUNTIF(B305:$B$5014,B305)&gt;1,IF(COUNTIF($B$5:B305,B305)&gt;1,"",B305&amp;"-I"),B305)</f>
        <v/>
      </c>
      <c r="B305" s="29">
        <f t="shared" si="4"/>
        <v>968</v>
      </c>
      <c r="C305" s="36" t="s">
        <v>321</v>
      </c>
      <c r="D305" s="53">
        <v>451</v>
      </c>
      <c r="E305" s="53" t="s">
        <v>833</v>
      </c>
      <c r="F305" s="53" t="s">
        <v>12</v>
      </c>
      <c r="G305" s="54">
        <v>41867</v>
      </c>
      <c r="H305" s="53">
        <v>1043</v>
      </c>
      <c r="I305" s="53">
        <v>968</v>
      </c>
      <c r="J305" s="39" t="s">
        <v>33</v>
      </c>
      <c r="K305" s="39" t="s">
        <v>1087</v>
      </c>
      <c r="L305" s="39"/>
      <c r="M305" s="37">
        <v>42068</v>
      </c>
      <c r="N305" s="39">
        <v>5.48</v>
      </c>
      <c r="O305" s="40">
        <v>904</v>
      </c>
    </row>
    <row r="306" spans="1:15" x14ac:dyDescent="0.55000000000000004">
      <c r="A306" s="24" t="str">
        <f>IF(COUNTIF(B306:$B$5014,B306)&gt;1,IF(COUNTIF($B$5:B306,B306)&gt;1,"",B306&amp;"-I"),B306)</f>
        <v/>
      </c>
      <c r="B306" s="29">
        <f t="shared" si="4"/>
        <v>973</v>
      </c>
      <c r="C306" s="36" t="s">
        <v>322</v>
      </c>
      <c r="D306" s="53">
        <v>452</v>
      </c>
      <c r="E306" s="53" t="s">
        <v>834</v>
      </c>
      <c r="F306" s="53" t="s">
        <v>12</v>
      </c>
      <c r="G306" s="54">
        <v>41881</v>
      </c>
      <c r="H306" s="53">
        <v>1043</v>
      </c>
      <c r="I306" s="53">
        <v>973</v>
      </c>
      <c r="J306" s="39" t="s">
        <v>33</v>
      </c>
      <c r="K306" s="39" t="s">
        <v>1087</v>
      </c>
      <c r="L306" s="39"/>
      <c r="M306" s="37">
        <v>42068</v>
      </c>
      <c r="N306" s="39">
        <v>5.48</v>
      </c>
      <c r="O306" s="40">
        <v>904</v>
      </c>
    </row>
    <row r="307" spans="1:15" x14ac:dyDescent="0.55000000000000004">
      <c r="A307" s="24" t="str">
        <f>IF(COUNTIF(B307:$B$5014,B307)&gt;1,IF(COUNTIF($B$5:B307,B307)&gt;1,"",B307&amp;"-I"),B307)</f>
        <v/>
      </c>
      <c r="B307" s="29">
        <f t="shared" si="4"/>
        <v>942</v>
      </c>
      <c r="C307" s="36" t="s">
        <v>323</v>
      </c>
      <c r="D307" s="53">
        <v>453</v>
      </c>
      <c r="E307" s="53" t="s">
        <v>833</v>
      </c>
      <c r="F307" s="53" t="s">
        <v>12</v>
      </c>
      <c r="G307" s="54">
        <v>41895</v>
      </c>
      <c r="H307" s="53">
        <v>1055</v>
      </c>
      <c r="I307" s="53">
        <v>942</v>
      </c>
      <c r="J307" s="39" t="s">
        <v>33</v>
      </c>
      <c r="K307" s="39" t="s">
        <v>1087</v>
      </c>
      <c r="L307" s="39"/>
      <c r="M307" s="37">
        <v>42068</v>
      </c>
      <c r="N307" s="39">
        <v>5.48</v>
      </c>
      <c r="O307" s="40">
        <v>904</v>
      </c>
    </row>
    <row r="308" spans="1:15" x14ac:dyDescent="0.55000000000000004">
      <c r="A308" s="24" t="str">
        <f>IF(COUNTIF(B308:$B$5014,B308)&gt;1,IF(COUNTIF($B$5:B308,B308)&gt;1,"",B308&amp;"-I"),B308)</f>
        <v/>
      </c>
      <c r="B308" s="29">
        <f t="shared" si="4"/>
        <v>882</v>
      </c>
      <c r="C308" s="36" t="s">
        <v>324</v>
      </c>
      <c r="D308" s="53">
        <v>454</v>
      </c>
      <c r="E308" s="53" t="s">
        <v>834</v>
      </c>
      <c r="F308" s="53" t="s">
        <v>11</v>
      </c>
      <c r="G308" s="54">
        <v>41891</v>
      </c>
      <c r="H308" s="53">
        <v>1043</v>
      </c>
      <c r="I308" s="53">
        <v>882</v>
      </c>
      <c r="J308" s="39" t="s">
        <v>33</v>
      </c>
      <c r="K308" s="39" t="s">
        <v>1087</v>
      </c>
      <c r="L308" s="39"/>
      <c r="M308" s="37">
        <v>42068</v>
      </c>
      <c r="N308" s="39">
        <v>5.48</v>
      </c>
      <c r="O308" s="40">
        <v>904</v>
      </c>
    </row>
    <row r="309" spans="1:15" x14ac:dyDescent="0.55000000000000004">
      <c r="A309" s="24" t="str">
        <f>IF(COUNTIF(B309:$B$5014,B309)&gt;1,IF(COUNTIF($B$5:B309,B309)&gt;1,"",B309&amp;"-I"),B309)</f>
        <v/>
      </c>
      <c r="B309" s="29">
        <f t="shared" si="4"/>
        <v>886</v>
      </c>
      <c r="C309" s="85" t="s">
        <v>325</v>
      </c>
      <c r="D309" s="72">
        <v>455</v>
      </c>
      <c r="E309" s="72" t="s">
        <v>834</v>
      </c>
      <c r="F309" s="72" t="s">
        <v>11</v>
      </c>
      <c r="G309" s="86">
        <v>41892</v>
      </c>
      <c r="H309" s="72">
        <v>1043</v>
      </c>
      <c r="I309" s="72">
        <v>886</v>
      </c>
      <c r="J309" s="47" t="s">
        <v>33</v>
      </c>
      <c r="K309" s="47" t="s">
        <v>1157</v>
      </c>
      <c r="L309" s="39" t="s">
        <v>854</v>
      </c>
      <c r="M309" s="87">
        <v>41896</v>
      </c>
      <c r="N309" s="47" t="s">
        <v>864</v>
      </c>
      <c r="O309" s="50" t="s">
        <v>864</v>
      </c>
    </row>
    <row r="310" spans="1:15" x14ac:dyDescent="0.55000000000000004">
      <c r="A310" s="24" t="str">
        <f>IF(COUNTIF(B310:$B$5014,B310)&gt;1,IF(COUNTIF($B$5:B310,B310)&gt;1,"",B310&amp;"-I"),B310)</f>
        <v/>
      </c>
      <c r="B310" s="29">
        <f t="shared" si="4"/>
        <v>880</v>
      </c>
      <c r="C310" s="36" t="s">
        <v>326</v>
      </c>
      <c r="D310" s="53">
        <v>456</v>
      </c>
      <c r="E310" s="53" t="s">
        <v>834</v>
      </c>
      <c r="F310" s="53" t="s">
        <v>11</v>
      </c>
      <c r="G310" s="54">
        <v>41985</v>
      </c>
      <c r="H310" s="53">
        <v>1043</v>
      </c>
      <c r="I310" s="53">
        <v>880</v>
      </c>
      <c r="J310" s="39" t="s">
        <v>33</v>
      </c>
      <c r="K310" s="39" t="s">
        <v>1087</v>
      </c>
      <c r="L310" s="39"/>
      <c r="M310" s="37">
        <v>42068</v>
      </c>
      <c r="N310" s="39">
        <v>5.48</v>
      </c>
      <c r="O310" s="40">
        <v>904</v>
      </c>
    </row>
    <row r="311" spans="1:15" x14ac:dyDescent="0.55000000000000004">
      <c r="A311" s="24" t="str">
        <f>IF(COUNTIF(B311:$B$5014,B311)&gt;1,IF(COUNTIF($B$5:B311,B311)&gt;1,"",B311&amp;"-I"),B311)</f>
        <v/>
      </c>
      <c r="B311" s="29">
        <f t="shared" si="4"/>
        <v>865</v>
      </c>
      <c r="C311" s="36" t="s">
        <v>327</v>
      </c>
      <c r="D311" s="53">
        <v>457</v>
      </c>
      <c r="E311" s="53" t="s">
        <v>834</v>
      </c>
      <c r="F311" s="53" t="s">
        <v>11</v>
      </c>
      <c r="G311" s="54">
        <v>41908</v>
      </c>
      <c r="H311" s="53">
        <v>1043</v>
      </c>
      <c r="I311" s="53">
        <v>865</v>
      </c>
      <c r="J311" s="39" t="s">
        <v>33</v>
      </c>
      <c r="K311" s="39" t="s">
        <v>1087</v>
      </c>
      <c r="L311" s="39"/>
      <c r="M311" s="37">
        <v>42068</v>
      </c>
      <c r="N311" s="39">
        <v>5.48</v>
      </c>
      <c r="O311" s="40">
        <v>904</v>
      </c>
    </row>
    <row r="312" spans="1:15" x14ac:dyDescent="0.55000000000000004">
      <c r="A312" s="24" t="str">
        <f>IF(COUNTIF(B312:$B$5014,B312)&gt;1,IF(COUNTIF($B$5:B312,B312)&gt;1,"",B312&amp;"-I"),B312)</f>
        <v/>
      </c>
      <c r="B312" s="29">
        <f t="shared" si="4"/>
        <v>945</v>
      </c>
      <c r="C312" s="36" t="s">
        <v>328</v>
      </c>
      <c r="D312" s="53">
        <v>460</v>
      </c>
      <c r="E312" s="53" t="s">
        <v>834</v>
      </c>
      <c r="F312" s="53" t="s">
        <v>12</v>
      </c>
      <c r="G312" s="54">
        <v>41934</v>
      </c>
      <c r="H312" s="53">
        <v>1043</v>
      </c>
      <c r="I312" s="53">
        <v>945</v>
      </c>
      <c r="J312" s="39" t="s">
        <v>33</v>
      </c>
      <c r="K312" s="39" t="s">
        <v>836</v>
      </c>
      <c r="L312" s="39"/>
      <c r="M312" s="37">
        <v>42325</v>
      </c>
      <c r="N312" s="39">
        <v>5.32</v>
      </c>
      <c r="O312" s="40">
        <v>984</v>
      </c>
    </row>
    <row r="313" spans="1:15" x14ac:dyDescent="0.55000000000000004">
      <c r="A313" s="24" t="str">
        <f>IF(COUNTIF(B313:$B$5014,B313)&gt;1,IF(COUNTIF($B$5:B313,B313)&gt;1,"",B313&amp;"-I"),B313)</f>
        <v/>
      </c>
      <c r="B313" s="29">
        <f t="shared" si="4"/>
        <v>867</v>
      </c>
      <c r="C313" s="36" t="s">
        <v>329</v>
      </c>
      <c r="D313" s="53">
        <v>461</v>
      </c>
      <c r="E313" s="53" t="s">
        <v>833</v>
      </c>
      <c r="F313" s="53" t="s">
        <v>12</v>
      </c>
      <c r="G313" s="54">
        <v>41936</v>
      </c>
      <c r="H313" s="53">
        <v>1055</v>
      </c>
      <c r="I313" s="53">
        <v>867</v>
      </c>
      <c r="J313" s="39" t="s">
        <v>33</v>
      </c>
      <c r="K313" s="39" t="s">
        <v>836</v>
      </c>
      <c r="L313" s="39"/>
      <c r="M313" s="37">
        <v>42325</v>
      </c>
      <c r="N313" s="39">
        <v>5.32</v>
      </c>
      <c r="O313" s="40">
        <v>984</v>
      </c>
    </row>
    <row r="314" spans="1:15" x14ac:dyDescent="0.55000000000000004">
      <c r="A314" s="24" t="str">
        <f>IF(COUNTIF(B314:$B$5014,B314)&gt;1,IF(COUNTIF($B$5:B314,B314)&gt;1,"",B314&amp;"-I"),B314)</f>
        <v/>
      </c>
      <c r="B314" s="29">
        <f t="shared" si="4"/>
        <v>871</v>
      </c>
      <c r="C314" s="36" t="s">
        <v>330</v>
      </c>
      <c r="D314" s="53">
        <v>462</v>
      </c>
      <c r="E314" s="53" t="s">
        <v>833</v>
      </c>
      <c r="F314" s="53" t="s">
        <v>11</v>
      </c>
      <c r="G314" s="54">
        <v>41944</v>
      </c>
      <c r="H314" s="53">
        <v>1055</v>
      </c>
      <c r="I314" s="53">
        <v>871</v>
      </c>
      <c r="J314" s="39" t="s">
        <v>33</v>
      </c>
      <c r="K314" s="39" t="s">
        <v>836</v>
      </c>
      <c r="L314" s="39"/>
      <c r="M314" s="37">
        <v>42325</v>
      </c>
      <c r="N314" s="39">
        <v>5.32</v>
      </c>
      <c r="O314" s="40">
        <v>984</v>
      </c>
    </row>
    <row r="315" spans="1:15" x14ac:dyDescent="0.55000000000000004">
      <c r="A315" s="24" t="str">
        <f>IF(COUNTIF(B315:$B$5014,B315)&gt;1,IF(COUNTIF($B$5:B315,B315)&gt;1,"",B315&amp;"-I"),B315)</f>
        <v/>
      </c>
      <c r="B315" s="29">
        <f t="shared" si="4"/>
        <v>898</v>
      </c>
      <c r="C315" s="36" t="s">
        <v>331</v>
      </c>
      <c r="D315" s="53">
        <v>463</v>
      </c>
      <c r="E315" s="53" t="s">
        <v>833</v>
      </c>
      <c r="F315" s="53" t="s">
        <v>12</v>
      </c>
      <c r="G315" s="54">
        <v>41945</v>
      </c>
      <c r="H315" s="53">
        <v>1043</v>
      </c>
      <c r="I315" s="53">
        <v>898</v>
      </c>
      <c r="J315" s="39" t="s">
        <v>33</v>
      </c>
      <c r="K315" s="39" t="s">
        <v>836</v>
      </c>
      <c r="L315" s="39"/>
      <c r="M315" s="37">
        <v>42325</v>
      </c>
      <c r="N315" s="39">
        <v>5.32</v>
      </c>
      <c r="O315" s="40">
        <v>984</v>
      </c>
    </row>
    <row r="316" spans="1:15" x14ac:dyDescent="0.55000000000000004">
      <c r="A316" s="24" t="str">
        <f>IF(COUNTIF(B316:$B$5014,B316)&gt;1,IF(COUNTIF($B$5:B316,B316)&gt;1,"",B316&amp;"-I"),B316)</f>
        <v/>
      </c>
      <c r="B316" s="29">
        <f t="shared" si="4"/>
        <v>954</v>
      </c>
      <c r="C316" s="36" t="s">
        <v>332</v>
      </c>
      <c r="D316" s="53">
        <v>464</v>
      </c>
      <c r="E316" s="53" t="s">
        <v>834</v>
      </c>
      <c r="F316" s="53" t="s">
        <v>11</v>
      </c>
      <c r="G316" s="54">
        <v>41962</v>
      </c>
      <c r="H316" s="53">
        <v>1043</v>
      </c>
      <c r="I316" s="53">
        <v>954</v>
      </c>
      <c r="J316" s="39" t="s">
        <v>33</v>
      </c>
      <c r="K316" s="39" t="s">
        <v>836</v>
      </c>
      <c r="L316" s="39"/>
      <c r="M316" s="37">
        <v>42325</v>
      </c>
      <c r="N316" s="39">
        <v>5.32</v>
      </c>
      <c r="O316" s="40">
        <v>984</v>
      </c>
    </row>
    <row r="317" spans="1:15" x14ac:dyDescent="0.55000000000000004">
      <c r="A317" s="24" t="str">
        <f>IF(COUNTIF(B317:$B$5014,B317)&gt;1,IF(COUNTIF($B$5:B317,B317)&gt;1,"",B317&amp;"-I"),B317)</f>
        <v>985-I</v>
      </c>
      <c r="B317" s="29">
        <f t="shared" si="4"/>
        <v>985</v>
      </c>
      <c r="C317" s="36" t="s">
        <v>333</v>
      </c>
      <c r="D317" s="53">
        <v>466</v>
      </c>
      <c r="E317" s="53" t="s">
        <v>834</v>
      </c>
      <c r="F317" s="53" t="s">
        <v>12</v>
      </c>
      <c r="G317" s="54">
        <v>41965</v>
      </c>
      <c r="H317" s="53" t="s">
        <v>842</v>
      </c>
      <c r="I317" s="53">
        <v>985</v>
      </c>
      <c r="J317" s="39" t="s">
        <v>33</v>
      </c>
      <c r="K317" s="39" t="s">
        <v>836</v>
      </c>
      <c r="L317" s="39"/>
      <c r="M317" s="37">
        <v>42325</v>
      </c>
      <c r="N317" s="39">
        <v>5.32</v>
      </c>
      <c r="O317" s="40">
        <v>984</v>
      </c>
    </row>
    <row r="318" spans="1:15" x14ac:dyDescent="0.55000000000000004">
      <c r="A318" s="24" t="str">
        <f>IF(COUNTIF(B318:$B$5014,B318)&gt;1,IF(COUNTIF($B$5:B318,B318)&gt;1,"",B318&amp;"-I"),B318)</f>
        <v/>
      </c>
      <c r="B318" s="29">
        <f t="shared" si="4"/>
        <v>889</v>
      </c>
      <c r="C318" s="36" t="s">
        <v>334</v>
      </c>
      <c r="D318" s="53">
        <v>467</v>
      </c>
      <c r="E318" s="53" t="s">
        <v>834</v>
      </c>
      <c r="F318" s="53" t="s">
        <v>12</v>
      </c>
      <c r="G318" s="54">
        <v>41977</v>
      </c>
      <c r="H318" s="53">
        <v>1055</v>
      </c>
      <c r="I318" s="53">
        <v>889</v>
      </c>
      <c r="J318" s="39" t="s">
        <v>33</v>
      </c>
      <c r="K318" s="39" t="s">
        <v>836</v>
      </c>
      <c r="L318" s="39"/>
      <c r="M318" s="37">
        <v>42325</v>
      </c>
      <c r="N318" s="39">
        <v>5.32</v>
      </c>
      <c r="O318" s="40">
        <v>984</v>
      </c>
    </row>
    <row r="319" spans="1:15" x14ac:dyDescent="0.55000000000000004">
      <c r="A319" s="24" t="str">
        <f>IF(COUNTIF(B319:$B$5014,B319)&gt;1,IF(COUNTIF($B$5:B319,B319)&gt;1,"",B319&amp;"-I"),B319)</f>
        <v/>
      </c>
      <c r="B319" s="29">
        <f t="shared" si="4"/>
        <v>936</v>
      </c>
      <c r="C319" s="36" t="s">
        <v>335</v>
      </c>
      <c r="D319" s="53">
        <v>468</v>
      </c>
      <c r="E319" s="53" t="s">
        <v>833</v>
      </c>
      <c r="F319" s="53" t="s">
        <v>11</v>
      </c>
      <c r="G319" s="54">
        <v>41989</v>
      </c>
      <c r="H319" s="53">
        <v>1055</v>
      </c>
      <c r="I319" s="53">
        <v>936</v>
      </c>
      <c r="J319" s="39" t="s">
        <v>33</v>
      </c>
      <c r="K319" s="39" t="s">
        <v>836</v>
      </c>
      <c r="L319" s="39"/>
      <c r="M319" s="37">
        <v>42325</v>
      </c>
      <c r="N319" s="39">
        <v>5.32</v>
      </c>
      <c r="O319" s="40">
        <v>984</v>
      </c>
    </row>
    <row r="320" spans="1:15" x14ac:dyDescent="0.55000000000000004">
      <c r="A320" s="24" t="str">
        <f>IF(COUNTIF(B320:$B$5014,B320)&gt;1,IF(COUNTIF($B$5:B320,B320)&gt;1,"",B320&amp;"-I"),B320)</f>
        <v/>
      </c>
      <c r="B320" s="29">
        <f t="shared" si="4"/>
        <v>858</v>
      </c>
      <c r="C320" s="36" t="s">
        <v>336</v>
      </c>
      <c r="D320" s="53">
        <v>469</v>
      </c>
      <c r="E320" s="53" t="s">
        <v>834</v>
      </c>
      <c r="F320" s="53" t="s">
        <v>12</v>
      </c>
      <c r="G320" s="54">
        <v>41994</v>
      </c>
      <c r="H320" s="53">
        <v>1055</v>
      </c>
      <c r="I320" s="53">
        <v>858</v>
      </c>
      <c r="J320" s="39" t="s">
        <v>33</v>
      </c>
      <c r="K320" s="39" t="s">
        <v>836</v>
      </c>
      <c r="L320" s="39"/>
      <c r="M320" s="37">
        <v>42325</v>
      </c>
      <c r="N320" s="39">
        <v>5.32</v>
      </c>
      <c r="O320" s="40">
        <v>984</v>
      </c>
    </row>
    <row r="321" spans="1:16" x14ac:dyDescent="0.55000000000000004">
      <c r="A321" s="24" t="str">
        <f>IF(COUNTIF(B321:$B$5014,B321)&gt;1,IF(COUNTIF($B$5:B321,B321)&gt;1,"",B321&amp;"-I"),B321)</f>
        <v/>
      </c>
      <c r="B321" s="29">
        <f t="shared" si="4"/>
        <v>884</v>
      </c>
      <c r="C321" s="36" t="s">
        <v>337</v>
      </c>
      <c r="D321" s="53">
        <v>470</v>
      </c>
      <c r="E321" s="53" t="s">
        <v>833</v>
      </c>
      <c r="F321" s="53" t="s">
        <v>11</v>
      </c>
      <c r="G321" s="54">
        <v>41937</v>
      </c>
      <c r="H321" s="53">
        <v>1055</v>
      </c>
      <c r="I321" s="53">
        <v>884</v>
      </c>
      <c r="J321" s="39" t="s">
        <v>33</v>
      </c>
      <c r="K321" s="39" t="s">
        <v>836</v>
      </c>
      <c r="L321" s="39"/>
      <c r="M321" s="37">
        <v>42325</v>
      </c>
      <c r="N321" s="39">
        <v>5.32</v>
      </c>
      <c r="O321" s="40">
        <v>984</v>
      </c>
    </row>
    <row r="322" spans="1:16" x14ac:dyDescent="0.55000000000000004">
      <c r="A322" s="24" t="str">
        <f>IF(COUNTIF(B322:$B$5014,B322)&gt;1,IF(COUNTIF($B$5:B322,B322)&gt;1,"",B322&amp;"-I"),B322)</f>
        <v/>
      </c>
      <c r="B322" s="29">
        <f t="shared" si="4"/>
        <v>896</v>
      </c>
      <c r="C322" s="36" t="s">
        <v>338</v>
      </c>
      <c r="D322" s="53">
        <v>471</v>
      </c>
      <c r="E322" s="53" t="s">
        <v>833</v>
      </c>
      <c r="F322" s="53" t="s">
        <v>11</v>
      </c>
      <c r="G322" s="54">
        <v>42000</v>
      </c>
      <c r="H322" s="53">
        <v>1055</v>
      </c>
      <c r="I322" s="53">
        <v>896</v>
      </c>
      <c r="J322" s="39" t="s">
        <v>33</v>
      </c>
      <c r="K322" s="39" t="s">
        <v>836</v>
      </c>
      <c r="L322" s="39"/>
      <c r="M322" s="37">
        <v>42325</v>
      </c>
      <c r="N322" s="39">
        <v>5.32</v>
      </c>
      <c r="O322" s="40">
        <v>984</v>
      </c>
    </row>
    <row r="323" spans="1:16" x14ac:dyDescent="0.55000000000000004">
      <c r="A323" s="24" t="str">
        <f>IF(COUNTIF(B323:$B$5014,B323)&gt;1,IF(COUNTIF($B$5:B323,B323)&gt;1,"",B323&amp;"-I"),B323)</f>
        <v/>
      </c>
      <c r="B323" s="29">
        <f t="shared" si="4"/>
        <v>972</v>
      </c>
      <c r="C323" s="36" t="s">
        <v>339</v>
      </c>
      <c r="D323" s="53">
        <v>472</v>
      </c>
      <c r="E323" s="53" t="s">
        <v>833</v>
      </c>
      <c r="F323" s="53" t="s">
        <v>12</v>
      </c>
      <c r="G323" s="54">
        <v>42000</v>
      </c>
      <c r="H323" s="53">
        <v>1055</v>
      </c>
      <c r="I323" s="53">
        <v>972</v>
      </c>
      <c r="J323" s="39" t="s">
        <v>33</v>
      </c>
      <c r="K323" s="39" t="s">
        <v>836</v>
      </c>
      <c r="L323" s="39"/>
      <c r="M323" s="37">
        <v>42325</v>
      </c>
      <c r="N323" s="39">
        <v>5.32</v>
      </c>
      <c r="O323" s="40">
        <v>984</v>
      </c>
    </row>
    <row r="324" spans="1:16" x14ac:dyDescent="0.55000000000000004">
      <c r="A324" s="24" t="str">
        <f>IF(COUNTIF(B324:$B$5014,B324)&gt;1,IF(COUNTIF($B$5:B324,B324)&gt;1,"",B324&amp;"-I"),B324)</f>
        <v>984-I</v>
      </c>
      <c r="B324" s="29">
        <f t="shared" si="4"/>
        <v>984</v>
      </c>
      <c r="C324" s="36" t="s">
        <v>340</v>
      </c>
      <c r="D324" s="53">
        <v>473</v>
      </c>
      <c r="E324" s="53" t="s">
        <v>834</v>
      </c>
      <c r="F324" s="53" t="s">
        <v>12</v>
      </c>
      <c r="G324" s="54">
        <v>41997</v>
      </c>
      <c r="H324" s="53" t="s">
        <v>842</v>
      </c>
      <c r="I324" s="53">
        <v>984</v>
      </c>
      <c r="J324" s="39" t="s">
        <v>33</v>
      </c>
      <c r="K324" s="39" t="s">
        <v>836</v>
      </c>
      <c r="L324" s="39"/>
      <c r="M324" s="37">
        <v>42325</v>
      </c>
      <c r="N324" s="39">
        <v>5.32</v>
      </c>
      <c r="O324" s="40">
        <v>984</v>
      </c>
    </row>
    <row r="325" spans="1:16" x14ac:dyDescent="0.55000000000000004">
      <c r="A325" s="24" t="str">
        <f>IF(COUNTIF(B325:$B$5014,B325)&gt;1,IF(COUNTIF($B$5:B325,B325)&gt;1,"",B325&amp;"-I"),B325)</f>
        <v/>
      </c>
      <c r="B325" s="29">
        <f t="shared" ref="B325:B388" si="5">+I325</f>
        <v>885</v>
      </c>
      <c r="C325" s="36" t="s">
        <v>341</v>
      </c>
      <c r="D325" s="53">
        <v>475</v>
      </c>
      <c r="E325" s="53" t="s">
        <v>834</v>
      </c>
      <c r="F325" s="53" t="s">
        <v>12</v>
      </c>
      <c r="G325" s="54">
        <v>42006</v>
      </c>
      <c r="H325" s="53">
        <v>1055</v>
      </c>
      <c r="I325" s="53">
        <v>885</v>
      </c>
      <c r="J325" s="39" t="s">
        <v>33</v>
      </c>
      <c r="K325" s="39" t="s">
        <v>836</v>
      </c>
      <c r="L325" s="39"/>
      <c r="M325" s="37">
        <v>42325</v>
      </c>
      <c r="N325" s="39">
        <v>5.32</v>
      </c>
      <c r="O325" s="40">
        <v>984</v>
      </c>
    </row>
    <row r="326" spans="1:16" x14ac:dyDescent="0.55000000000000004">
      <c r="A326" s="24" t="str">
        <f>IF(COUNTIF(B326:$B$5014,B326)&gt;1,IF(COUNTIF($B$5:B326,B326)&gt;1,"",B326&amp;"-I"),B326)</f>
        <v/>
      </c>
      <c r="B326" s="29">
        <f t="shared" si="5"/>
        <v>894</v>
      </c>
      <c r="C326" s="36" t="s">
        <v>342</v>
      </c>
      <c r="D326" s="53">
        <v>476</v>
      </c>
      <c r="E326" s="53" t="s">
        <v>833</v>
      </c>
      <c r="F326" s="53" t="s">
        <v>11</v>
      </c>
      <c r="G326" s="54">
        <v>42007</v>
      </c>
      <c r="H326" s="53">
        <v>1055</v>
      </c>
      <c r="I326" s="53">
        <v>894</v>
      </c>
      <c r="J326" s="39" t="s">
        <v>33</v>
      </c>
      <c r="K326" s="39" t="s">
        <v>836</v>
      </c>
      <c r="L326" s="39"/>
      <c r="M326" s="37">
        <v>42325</v>
      </c>
      <c r="N326" s="39">
        <v>5.32</v>
      </c>
      <c r="O326" s="40">
        <v>984</v>
      </c>
    </row>
    <row r="327" spans="1:16" x14ac:dyDescent="0.55000000000000004">
      <c r="A327" s="24" t="str">
        <f>IF(COUNTIF(B327:$B$5014,B327)&gt;1,IF(COUNTIF($B$5:B327,B327)&gt;1,"",B327&amp;"-I"),B327)</f>
        <v/>
      </c>
      <c r="B327" s="29">
        <f t="shared" si="5"/>
        <v>974</v>
      </c>
      <c r="C327" s="36" t="s">
        <v>343</v>
      </c>
      <c r="D327" s="53">
        <v>477</v>
      </c>
      <c r="E327" s="53" t="s">
        <v>833</v>
      </c>
      <c r="F327" s="53" t="s">
        <v>12</v>
      </c>
      <c r="G327" s="54">
        <v>42016</v>
      </c>
      <c r="H327" s="53">
        <v>1055</v>
      </c>
      <c r="I327" s="23">
        <v>974</v>
      </c>
      <c r="J327" s="39" t="s">
        <v>33</v>
      </c>
      <c r="K327" s="39" t="s">
        <v>836</v>
      </c>
      <c r="L327" s="39"/>
      <c r="M327" s="37">
        <v>42325</v>
      </c>
      <c r="N327" s="39">
        <v>5.32</v>
      </c>
      <c r="O327" s="40">
        <v>984</v>
      </c>
    </row>
    <row r="328" spans="1:16" x14ac:dyDescent="0.55000000000000004">
      <c r="A328" s="24" t="str">
        <f>IF(COUNTIF(B328:$B$5014,B328)&gt;1,IF(COUNTIF($B$5:B328,B328)&gt;1,"",B328&amp;"-I"),B328)</f>
        <v>988-I</v>
      </c>
      <c r="B328" s="29">
        <f t="shared" si="5"/>
        <v>988</v>
      </c>
      <c r="C328" s="36" t="s">
        <v>344</v>
      </c>
      <c r="D328" s="53">
        <v>479</v>
      </c>
      <c r="E328" s="53" t="s">
        <v>833</v>
      </c>
      <c r="F328" s="53" t="s">
        <v>11</v>
      </c>
      <c r="G328" s="54">
        <v>42021</v>
      </c>
      <c r="H328" s="53" t="s">
        <v>842</v>
      </c>
      <c r="I328" s="53">
        <v>988</v>
      </c>
      <c r="J328" s="39" t="s">
        <v>33</v>
      </c>
      <c r="K328" s="39" t="s">
        <v>836</v>
      </c>
      <c r="L328" s="39"/>
      <c r="M328" s="37">
        <v>42325</v>
      </c>
      <c r="N328" s="39">
        <v>5.32</v>
      </c>
      <c r="O328" s="40">
        <v>984</v>
      </c>
      <c r="P328" s="100" t="s">
        <v>913</v>
      </c>
    </row>
    <row r="329" spans="1:16" x14ac:dyDescent="0.55000000000000004">
      <c r="A329" s="24" t="str">
        <f>IF(COUNTIF(B329:$B$5014,B329)&gt;1,IF(COUNTIF($B$5:B329,B329)&gt;1,"",B329&amp;"-I"),B329)</f>
        <v>986-I</v>
      </c>
      <c r="B329" s="29">
        <f t="shared" si="5"/>
        <v>986</v>
      </c>
      <c r="C329" s="36" t="s">
        <v>345</v>
      </c>
      <c r="D329" s="53">
        <v>480</v>
      </c>
      <c r="E329" s="53" t="s">
        <v>833</v>
      </c>
      <c r="F329" s="53" t="s">
        <v>11</v>
      </c>
      <c r="G329" s="54">
        <v>42024</v>
      </c>
      <c r="H329" s="53" t="s">
        <v>842</v>
      </c>
      <c r="I329" s="53">
        <v>986</v>
      </c>
      <c r="J329" s="39" t="s">
        <v>33</v>
      </c>
      <c r="K329" s="39" t="s">
        <v>836</v>
      </c>
      <c r="L329" s="39"/>
      <c r="M329" s="37">
        <v>42325</v>
      </c>
      <c r="N329" s="39">
        <v>5.32</v>
      </c>
      <c r="O329" s="40">
        <v>984</v>
      </c>
    </row>
    <row r="330" spans="1:16" x14ac:dyDescent="0.55000000000000004">
      <c r="A330" s="24" t="str">
        <f>IF(COUNTIF(B330:$B$5014,B330)&gt;1,IF(COUNTIF($B$5:B330,B330)&gt;1,"",B330&amp;"-I"),B330)</f>
        <v/>
      </c>
      <c r="B330" s="29">
        <f t="shared" si="5"/>
        <v>957</v>
      </c>
      <c r="C330" s="36" t="s">
        <v>346</v>
      </c>
      <c r="D330" s="53">
        <v>481</v>
      </c>
      <c r="E330" s="53" t="s">
        <v>833</v>
      </c>
      <c r="F330" s="53" t="s">
        <v>12</v>
      </c>
      <c r="G330" s="54">
        <v>42024</v>
      </c>
      <c r="H330" s="53">
        <v>1043</v>
      </c>
      <c r="I330" s="53">
        <v>957</v>
      </c>
      <c r="J330" s="39" t="s">
        <v>33</v>
      </c>
      <c r="K330" s="39" t="s">
        <v>836</v>
      </c>
      <c r="L330" s="39"/>
      <c r="M330" s="37">
        <v>42325</v>
      </c>
      <c r="N330" s="39">
        <v>5.32</v>
      </c>
      <c r="O330" s="40">
        <v>984</v>
      </c>
    </row>
    <row r="331" spans="1:16" x14ac:dyDescent="0.55000000000000004">
      <c r="A331" s="24" t="str">
        <f>IF(COUNTIF(B331:$B$5014,B331)&gt;1,IF(COUNTIF($B$5:B331,B331)&gt;1,"",B331&amp;"-I"),B331)</f>
        <v>977-I</v>
      </c>
      <c r="B331" s="29">
        <f t="shared" si="5"/>
        <v>977</v>
      </c>
      <c r="C331" s="36" t="s">
        <v>347</v>
      </c>
      <c r="D331" s="53">
        <v>482</v>
      </c>
      <c r="E331" s="53" t="s">
        <v>833</v>
      </c>
      <c r="F331" s="53" t="s">
        <v>11</v>
      </c>
      <c r="G331" s="54">
        <v>42029</v>
      </c>
      <c r="H331" s="53" t="s">
        <v>842</v>
      </c>
      <c r="I331" s="53">
        <v>977</v>
      </c>
      <c r="J331" s="39" t="s">
        <v>33</v>
      </c>
      <c r="K331" s="39" t="s">
        <v>836</v>
      </c>
      <c r="L331" s="39"/>
      <c r="M331" s="37">
        <v>42325</v>
      </c>
      <c r="N331" s="39">
        <v>5.32</v>
      </c>
      <c r="O331" s="40">
        <v>984</v>
      </c>
    </row>
    <row r="332" spans="1:16" x14ac:dyDescent="0.55000000000000004">
      <c r="A332" s="24" t="str">
        <f>IF(COUNTIF(B332:$B$5014,B332)&gt;1,IF(COUNTIF($B$5:B332,B332)&gt;1,"",B332&amp;"-I"),B332)</f>
        <v/>
      </c>
      <c r="B332" s="29">
        <f t="shared" si="5"/>
        <v>931</v>
      </c>
      <c r="C332" s="36" t="s">
        <v>348</v>
      </c>
      <c r="D332" s="53">
        <v>483</v>
      </c>
      <c r="E332" s="53" t="s">
        <v>833</v>
      </c>
      <c r="F332" s="53" t="s">
        <v>11</v>
      </c>
      <c r="G332" s="54">
        <v>42038</v>
      </c>
      <c r="H332" s="53">
        <v>1043</v>
      </c>
      <c r="I332" s="53">
        <v>931</v>
      </c>
      <c r="J332" s="39" t="s">
        <v>33</v>
      </c>
      <c r="K332" s="39" t="s">
        <v>836</v>
      </c>
      <c r="L332" s="39"/>
      <c r="M332" s="37">
        <v>42325</v>
      </c>
      <c r="N332" s="39">
        <v>5.32</v>
      </c>
      <c r="O332" s="40">
        <v>984</v>
      </c>
    </row>
    <row r="333" spans="1:16" x14ac:dyDescent="0.55000000000000004">
      <c r="A333" s="24" t="str">
        <f>IF(COUNTIF(B333:$B$5014,B333)&gt;1,IF(COUNTIF($B$5:B333,B333)&gt;1,"",B333&amp;"-I"),B333)</f>
        <v>980-I</v>
      </c>
      <c r="B333" s="29">
        <f t="shared" si="5"/>
        <v>980</v>
      </c>
      <c r="C333" s="36" t="s">
        <v>349</v>
      </c>
      <c r="D333" s="53">
        <v>484</v>
      </c>
      <c r="E333" s="53" t="s">
        <v>834</v>
      </c>
      <c r="F333" s="53" t="s">
        <v>11</v>
      </c>
      <c r="G333" s="54">
        <v>42047</v>
      </c>
      <c r="H333" s="53" t="s">
        <v>842</v>
      </c>
      <c r="I333" s="53">
        <v>980</v>
      </c>
      <c r="J333" s="39" t="s">
        <v>33</v>
      </c>
      <c r="K333" s="39" t="s">
        <v>836</v>
      </c>
      <c r="L333" s="39"/>
      <c r="M333" s="37">
        <v>42325</v>
      </c>
      <c r="N333" s="39">
        <v>5.32</v>
      </c>
      <c r="O333" s="40">
        <v>984</v>
      </c>
    </row>
    <row r="334" spans="1:16" x14ac:dyDescent="0.55000000000000004">
      <c r="A334" s="24" t="str">
        <f>IF(COUNTIF(B334:$B$5014,B334)&gt;1,IF(COUNTIF($B$5:B334,B334)&gt;1,"",B334&amp;"-I"),B334)</f>
        <v/>
      </c>
      <c r="B334" s="29">
        <f t="shared" si="5"/>
        <v>930</v>
      </c>
      <c r="C334" s="36" t="s">
        <v>350</v>
      </c>
      <c r="D334" s="53">
        <v>485</v>
      </c>
      <c r="E334" s="53" t="s">
        <v>834</v>
      </c>
      <c r="F334" s="53" t="s">
        <v>12</v>
      </c>
      <c r="G334" s="54">
        <v>42048</v>
      </c>
      <c r="H334" s="53">
        <v>1055</v>
      </c>
      <c r="I334" s="53">
        <v>930</v>
      </c>
      <c r="J334" s="39" t="s">
        <v>33</v>
      </c>
      <c r="K334" s="39" t="s">
        <v>836</v>
      </c>
      <c r="L334" s="39"/>
      <c r="M334" s="37">
        <v>42325</v>
      </c>
      <c r="N334" s="39">
        <v>5.32</v>
      </c>
      <c r="O334" s="40">
        <v>984</v>
      </c>
    </row>
    <row r="335" spans="1:16" x14ac:dyDescent="0.55000000000000004">
      <c r="A335" s="24" t="str">
        <f>IF(COUNTIF(B335:$B$5014,B335)&gt;1,IF(COUNTIF($B$5:B335,B335)&gt;1,"",B335&amp;"-I"),B335)</f>
        <v/>
      </c>
      <c r="B335" s="29">
        <f t="shared" si="5"/>
        <v>964</v>
      </c>
      <c r="C335" s="36" t="s">
        <v>351</v>
      </c>
      <c r="D335" s="53">
        <v>488</v>
      </c>
      <c r="E335" s="53" t="s">
        <v>834</v>
      </c>
      <c r="F335" s="53" t="s">
        <v>11</v>
      </c>
      <c r="G335" s="54">
        <v>42062</v>
      </c>
      <c r="H335" s="53">
        <v>1043</v>
      </c>
      <c r="I335" s="53">
        <v>964</v>
      </c>
      <c r="J335" s="39" t="s">
        <v>33</v>
      </c>
      <c r="K335" s="39" t="s">
        <v>836</v>
      </c>
      <c r="L335" s="39"/>
      <c r="M335" s="37">
        <v>42325</v>
      </c>
      <c r="N335" s="39">
        <v>5.32</v>
      </c>
      <c r="O335" s="40">
        <v>984</v>
      </c>
    </row>
    <row r="336" spans="1:16" x14ac:dyDescent="0.55000000000000004">
      <c r="A336" s="24" t="str">
        <f>IF(COUNTIF(B336:$B$5014,B336)&gt;1,IF(COUNTIF($B$5:B336,B336)&gt;1,"",B336&amp;"-I"),B336)</f>
        <v/>
      </c>
      <c r="B336" s="29">
        <f t="shared" si="5"/>
        <v>872</v>
      </c>
      <c r="C336" s="36" t="s">
        <v>352</v>
      </c>
      <c r="D336" s="53">
        <v>489</v>
      </c>
      <c r="E336" s="53" t="s">
        <v>833</v>
      </c>
      <c r="F336" s="53" t="s">
        <v>12</v>
      </c>
      <c r="G336" s="54">
        <v>42063</v>
      </c>
      <c r="H336" s="53">
        <v>1043</v>
      </c>
      <c r="I336" s="53">
        <v>872</v>
      </c>
      <c r="J336" s="39" t="s">
        <v>33</v>
      </c>
      <c r="K336" s="39" t="s">
        <v>836</v>
      </c>
      <c r="L336" s="39"/>
      <c r="M336" s="37">
        <v>42325</v>
      </c>
      <c r="N336" s="39">
        <v>5.32</v>
      </c>
      <c r="O336" s="40">
        <v>984</v>
      </c>
    </row>
    <row r="337" spans="1:15" x14ac:dyDescent="0.55000000000000004">
      <c r="A337" s="24" t="str">
        <f>IF(COUNTIF(B337:$B$5014,B337)&gt;1,IF(COUNTIF($B$5:B337,B337)&gt;1,"",B337&amp;"-I"),B337)</f>
        <v/>
      </c>
      <c r="B337" s="29">
        <f t="shared" si="5"/>
        <v>893</v>
      </c>
      <c r="C337" s="85" t="s">
        <v>353</v>
      </c>
      <c r="D337" s="72">
        <v>490</v>
      </c>
      <c r="E337" s="72" t="s">
        <v>833</v>
      </c>
      <c r="F337" s="72" t="s">
        <v>12</v>
      </c>
      <c r="G337" s="86">
        <v>42066</v>
      </c>
      <c r="H337" s="72">
        <v>1043</v>
      </c>
      <c r="I337" s="72">
        <v>893</v>
      </c>
      <c r="J337" s="47" t="s">
        <v>33</v>
      </c>
      <c r="K337" s="47" t="s">
        <v>1157</v>
      </c>
      <c r="L337" s="39" t="s">
        <v>840</v>
      </c>
      <c r="M337" s="47" t="s">
        <v>841</v>
      </c>
      <c r="N337" s="50">
        <v>42067</v>
      </c>
      <c r="O337" s="50" t="s">
        <v>864</v>
      </c>
    </row>
    <row r="338" spans="1:15" x14ac:dyDescent="0.55000000000000004">
      <c r="A338" s="24" t="str">
        <f>IF(COUNTIF(B338:$B$5014,B338)&gt;1,IF(COUNTIF($B$5:B338,B338)&gt;1,"",B338&amp;"-I"),B338)</f>
        <v/>
      </c>
      <c r="B338" s="29">
        <f t="shared" si="5"/>
        <v>881</v>
      </c>
      <c r="C338" s="36" t="s">
        <v>354</v>
      </c>
      <c r="D338" s="53">
        <v>491</v>
      </c>
      <c r="E338" s="53" t="s">
        <v>834</v>
      </c>
      <c r="F338" s="53" t="s">
        <v>11</v>
      </c>
      <c r="G338" s="54">
        <v>42066</v>
      </c>
      <c r="H338" s="53">
        <v>1043</v>
      </c>
      <c r="I338" s="53">
        <v>881</v>
      </c>
      <c r="J338" s="39" t="s">
        <v>33</v>
      </c>
      <c r="K338" s="39" t="s">
        <v>836</v>
      </c>
      <c r="L338" s="39"/>
      <c r="M338" s="37">
        <v>42325</v>
      </c>
      <c r="N338" s="39">
        <v>5.32</v>
      </c>
      <c r="O338" s="40">
        <v>984</v>
      </c>
    </row>
    <row r="339" spans="1:15" x14ac:dyDescent="0.55000000000000004">
      <c r="A339" s="24" t="str">
        <f>IF(COUNTIF(B339:$B$5014,B339)&gt;1,IF(COUNTIF($B$5:B339,B339)&gt;1,"",B339&amp;"-I"),B339)</f>
        <v/>
      </c>
      <c r="B339" s="29">
        <f t="shared" si="5"/>
        <v>969</v>
      </c>
      <c r="C339" s="36" t="s">
        <v>355</v>
      </c>
      <c r="D339" s="53">
        <v>492</v>
      </c>
      <c r="E339" s="53" t="s">
        <v>833</v>
      </c>
      <c r="F339" s="53" t="s">
        <v>12</v>
      </c>
      <c r="G339" s="54">
        <v>42078</v>
      </c>
      <c r="H339" s="53">
        <v>1043</v>
      </c>
      <c r="I339" s="53">
        <v>969</v>
      </c>
      <c r="J339" s="39" t="s">
        <v>33</v>
      </c>
      <c r="K339" s="39" t="s">
        <v>836</v>
      </c>
      <c r="L339" s="39"/>
      <c r="M339" s="37">
        <v>42325</v>
      </c>
      <c r="N339" s="39">
        <v>5.32</v>
      </c>
      <c r="O339" s="40">
        <v>984</v>
      </c>
    </row>
    <row r="340" spans="1:15" x14ac:dyDescent="0.55000000000000004">
      <c r="A340" s="24" t="str">
        <f>IF(COUNTIF(B340:$B$5014,B340)&gt;1,IF(COUNTIF($B$5:B340,B340)&gt;1,"",B340&amp;"-I"),B340)</f>
        <v/>
      </c>
      <c r="B340" s="29">
        <f t="shared" si="5"/>
        <v>958</v>
      </c>
      <c r="C340" s="36" t="s">
        <v>356</v>
      </c>
      <c r="D340" s="53">
        <v>493</v>
      </c>
      <c r="E340" s="53" t="s">
        <v>833</v>
      </c>
      <c r="F340" s="53" t="s">
        <v>12</v>
      </c>
      <c r="G340" s="54">
        <v>42084</v>
      </c>
      <c r="H340" s="53">
        <v>1043</v>
      </c>
      <c r="I340" s="53">
        <v>958</v>
      </c>
      <c r="J340" s="39" t="s">
        <v>33</v>
      </c>
      <c r="K340" s="39" t="s">
        <v>836</v>
      </c>
      <c r="L340" s="39"/>
      <c r="M340" s="37">
        <v>42325</v>
      </c>
      <c r="N340" s="39">
        <v>5.32</v>
      </c>
      <c r="O340" s="40">
        <v>984</v>
      </c>
    </row>
    <row r="341" spans="1:15" x14ac:dyDescent="0.55000000000000004">
      <c r="A341" s="24" t="str">
        <f>IF(COUNTIF(B341:$B$5014,B341)&gt;1,IF(COUNTIF($B$5:B341,B341)&gt;1,"",B341&amp;"-I"),B341)</f>
        <v/>
      </c>
      <c r="B341" s="29">
        <f t="shared" si="5"/>
        <v>961</v>
      </c>
      <c r="C341" s="36" t="s">
        <v>357</v>
      </c>
      <c r="D341" s="53">
        <v>494</v>
      </c>
      <c r="E341" s="53" t="s">
        <v>833</v>
      </c>
      <c r="F341" s="53" t="s">
        <v>11</v>
      </c>
      <c r="G341" s="54">
        <v>42089</v>
      </c>
      <c r="H341" s="53">
        <v>1043</v>
      </c>
      <c r="I341" s="53">
        <v>961</v>
      </c>
      <c r="J341" s="39" t="s">
        <v>33</v>
      </c>
      <c r="K341" s="39" t="s">
        <v>836</v>
      </c>
      <c r="L341" s="39"/>
      <c r="M341" s="37">
        <v>42325</v>
      </c>
      <c r="N341" s="39">
        <v>5.32</v>
      </c>
      <c r="O341" s="40">
        <v>984</v>
      </c>
    </row>
    <row r="342" spans="1:15" x14ac:dyDescent="0.55000000000000004">
      <c r="A342" s="24" t="str">
        <f>IF(COUNTIF(B342:$B$5014,B342)&gt;1,IF(COUNTIF($B$5:B342,B342)&gt;1,"",B342&amp;"-I"),B342)</f>
        <v/>
      </c>
      <c r="B342" s="29">
        <f t="shared" si="5"/>
        <v>949</v>
      </c>
      <c r="C342" s="36" t="s">
        <v>358</v>
      </c>
      <c r="D342" s="53">
        <v>495</v>
      </c>
      <c r="E342" s="53" t="s">
        <v>833</v>
      </c>
      <c r="F342" s="53" t="s">
        <v>12</v>
      </c>
      <c r="G342" s="54">
        <v>42089</v>
      </c>
      <c r="H342" s="53">
        <v>1043</v>
      </c>
      <c r="I342" s="53">
        <v>949</v>
      </c>
      <c r="J342" s="39" t="s">
        <v>33</v>
      </c>
      <c r="K342" s="39" t="s">
        <v>836</v>
      </c>
      <c r="L342" s="39"/>
      <c r="M342" s="37">
        <v>42325</v>
      </c>
      <c r="N342" s="39">
        <v>5.32</v>
      </c>
      <c r="O342" s="40">
        <v>984</v>
      </c>
    </row>
    <row r="343" spans="1:15" x14ac:dyDescent="0.55000000000000004">
      <c r="A343" s="24" t="str">
        <f>IF(COUNTIF(B343:$B$5014,B343)&gt;1,IF(COUNTIF($B$5:B343,B343)&gt;1,"",B343&amp;"-I"),B343)</f>
        <v/>
      </c>
      <c r="B343" s="29">
        <f t="shared" si="5"/>
        <v>946</v>
      </c>
      <c r="C343" s="36" t="s">
        <v>359</v>
      </c>
      <c r="D343" s="53">
        <v>497</v>
      </c>
      <c r="E343" s="53" t="s">
        <v>833</v>
      </c>
      <c r="F343" s="53" t="s">
        <v>12</v>
      </c>
      <c r="G343" s="54">
        <v>42093</v>
      </c>
      <c r="H343" s="53">
        <v>1043</v>
      </c>
      <c r="I343" s="53">
        <v>946</v>
      </c>
      <c r="J343" s="39" t="s">
        <v>33</v>
      </c>
      <c r="K343" s="39" t="s">
        <v>836</v>
      </c>
      <c r="L343" s="39"/>
      <c r="M343" s="37">
        <v>42325</v>
      </c>
      <c r="N343" s="39">
        <v>5.32</v>
      </c>
      <c r="O343" s="40">
        <v>984</v>
      </c>
    </row>
    <row r="344" spans="1:15" x14ac:dyDescent="0.55000000000000004">
      <c r="A344" s="24" t="str">
        <f>IF(COUNTIF(B344:$B$5014,B344)&gt;1,IF(COUNTIF($B$5:B344,B344)&gt;1,"",B344&amp;"-I"),B344)</f>
        <v/>
      </c>
      <c r="B344" s="29">
        <f t="shared" si="5"/>
        <v>854</v>
      </c>
      <c r="C344" s="36" t="s">
        <v>360</v>
      </c>
      <c r="D344" s="53">
        <v>498</v>
      </c>
      <c r="E344" s="53" t="s">
        <v>833</v>
      </c>
      <c r="F344" s="53" t="s">
        <v>11</v>
      </c>
      <c r="G344" s="54">
        <v>42093</v>
      </c>
      <c r="H344" s="53">
        <v>1043</v>
      </c>
      <c r="I344" s="53">
        <v>854</v>
      </c>
      <c r="J344" s="39" t="s">
        <v>33</v>
      </c>
      <c r="K344" s="39" t="s">
        <v>836</v>
      </c>
      <c r="L344" s="39"/>
      <c r="M344" s="37">
        <v>42325</v>
      </c>
      <c r="N344" s="39">
        <v>5.32</v>
      </c>
      <c r="O344" s="40">
        <v>984</v>
      </c>
    </row>
    <row r="345" spans="1:15" x14ac:dyDescent="0.55000000000000004">
      <c r="A345" s="24" t="str">
        <f>IF(COUNTIF(B345:$B$5014,B345)&gt;1,IF(COUNTIF($B$5:B345,B345)&gt;1,"",B345&amp;"-I"),B345)</f>
        <v/>
      </c>
      <c r="B345" s="29">
        <f t="shared" si="5"/>
        <v>875</v>
      </c>
      <c r="C345" s="36" t="s">
        <v>361</v>
      </c>
      <c r="D345" s="53">
        <v>499</v>
      </c>
      <c r="E345" s="53" t="s">
        <v>833</v>
      </c>
      <c r="F345" s="53" t="s">
        <v>11</v>
      </c>
      <c r="G345" s="54">
        <v>42093</v>
      </c>
      <c r="H345" s="53">
        <v>1043</v>
      </c>
      <c r="I345" s="53">
        <v>875</v>
      </c>
      <c r="J345" s="39" t="s">
        <v>33</v>
      </c>
      <c r="K345" s="39" t="s">
        <v>836</v>
      </c>
      <c r="L345" s="39"/>
      <c r="M345" s="37">
        <v>42325</v>
      </c>
      <c r="N345" s="39">
        <v>5.32</v>
      </c>
      <c r="O345" s="40">
        <v>984</v>
      </c>
    </row>
    <row r="346" spans="1:15" x14ac:dyDescent="0.55000000000000004">
      <c r="A346" s="24" t="str">
        <f>IF(COUNTIF(B346:$B$5014,B346)&gt;1,IF(COUNTIF($B$5:B346,B346)&gt;1,"",B346&amp;"-I"),B346)</f>
        <v/>
      </c>
      <c r="B346" s="29">
        <f t="shared" si="5"/>
        <v>928</v>
      </c>
      <c r="C346" s="36" t="s">
        <v>362</v>
      </c>
      <c r="D346" s="53">
        <v>500</v>
      </c>
      <c r="E346" s="53" t="s">
        <v>833</v>
      </c>
      <c r="F346" s="53" t="s">
        <v>12</v>
      </c>
      <c r="G346" s="54">
        <v>42097</v>
      </c>
      <c r="H346" s="53">
        <v>1043</v>
      </c>
      <c r="I346" s="53">
        <v>928</v>
      </c>
      <c r="J346" s="39" t="s">
        <v>33</v>
      </c>
      <c r="K346" s="39" t="s">
        <v>836</v>
      </c>
      <c r="L346" s="39"/>
      <c r="M346" s="37">
        <v>42325</v>
      </c>
      <c r="N346" s="39">
        <v>5.32</v>
      </c>
      <c r="O346" s="40">
        <v>984</v>
      </c>
    </row>
    <row r="347" spans="1:15" x14ac:dyDescent="0.55000000000000004">
      <c r="A347" s="24" t="str">
        <f>IF(COUNTIF(B347:$B$5014,B347)&gt;1,IF(COUNTIF($B$5:B347,B347)&gt;1,"",B347&amp;"-I"),B347)</f>
        <v/>
      </c>
      <c r="B347" s="29">
        <f t="shared" si="5"/>
        <v>862</v>
      </c>
      <c r="C347" s="36" t="s">
        <v>363</v>
      </c>
      <c r="D347" s="53">
        <v>501</v>
      </c>
      <c r="E347" s="53" t="s">
        <v>833</v>
      </c>
      <c r="F347" s="53" t="s">
        <v>11</v>
      </c>
      <c r="G347" s="54">
        <v>42097</v>
      </c>
      <c r="H347" s="53">
        <v>1043</v>
      </c>
      <c r="I347" s="53">
        <v>862</v>
      </c>
      <c r="J347" s="39" t="s">
        <v>33</v>
      </c>
      <c r="K347" s="39" t="s">
        <v>836</v>
      </c>
      <c r="L347" s="39"/>
      <c r="M347" s="37">
        <v>42325</v>
      </c>
      <c r="N347" s="39">
        <v>5.32</v>
      </c>
      <c r="O347" s="40">
        <v>984</v>
      </c>
    </row>
    <row r="348" spans="1:15" x14ac:dyDescent="0.55000000000000004">
      <c r="A348" s="24" t="str">
        <f>IF(COUNTIF(B348:$B$5014,B348)&gt;1,IF(COUNTIF($B$5:B348,B348)&gt;1,"",B348&amp;"-I"),B348)</f>
        <v/>
      </c>
      <c r="B348" s="29">
        <f t="shared" si="5"/>
        <v>863</v>
      </c>
      <c r="C348" s="36" t="s">
        <v>364</v>
      </c>
      <c r="D348" s="53">
        <v>502</v>
      </c>
      <c r="E348" s="53" t="s">
        <v>833</v>
      </c>
      <c r="F348" s="53" t="s">
        <v>12</v>
      </c>
      <c r="G348" s="54">
        <v>42103</v>
      </c>
      <c r="H348" s="53">
        <v>1043</v>
      </c>
      <c r="I348" s="53">
        <v>863</v>
      </c>
      <c r="J348" s="39" t="s">
        <v>33</v>
      </c>
      <c r="K348" s="39" t="s">
        <v>836</v>
      </c>
      <c r="L348" s="39"/>
      <c r="M348" s="37">
        <v>42325</v>
      </c>
      <c r="N348" s="39">
        <v>5.32</v>
      </c>
      <c r="O348" s="40">
        <v>984</v>
      </c>
    </row>
    <row r="349" spans="1:15" x14ac:dyDescent="0.55000000000000004">
      <c r="A349" s="24" t="str">
        <f>IF(COUNTIF(B349:$B$5014,B349)&gt;1,IF(COUNTIF($B$5:B349,B349)&gt;1,"",B349&amp;"-I"),B349)</f>
        <v/>
      </c>
      <c r="B349" s="29">
        <f t="shared" si="5"/>
        <v>859</v>
      </c>
      <c r="C349" s="36" t="s">
        <v>365</v>
      </c>
      <c r="D349" s="53">
        <v>504</v>
      </c>
      <c r="E349" s="53" t="s">
        <v>833</v>
      </c>
      <c r="F349" s="53" t="s">
        <v>12</v>
      </c>
      <c r="G349" s="54">
        <v>42110</v>
      </c>
      <c r="H349" s="53">
        <v>1043</v>
      </c>
      <c r="I349" s="53">
        <v>859</v>
      </c>
      <c r="J349" s="39" t="s">
        <v>33</v>
      </c>
      <c r="K349" s="39" t="s">
        <v>836</v>
      </c>
      <c r="L349" s="39"/>
      <c r="M349" s="37">
        <v>42325</v>
      </c>
      <c r="N349" s="39">
        <v>5.32</v>
      </c>
      <c r="O349" s="40">
        <v>984</v>
      </c>
    </row>
    <row r="350" spans="1:15" x14ac:dyDescent="0.55000000000000004">
      <c r="A350" s="24" t="str">
        <f>IF(COUNTIF(B350:$B$5014,B350)&gt;1,IF(COUNTIF($B$5:B350,B350)&gt;1,"",B350&amp;"-I"),B350)</f>
        <v/>
      </c>
      <c r="B350" s="29">
        <f t="shared" si="5"/>
        <v>869</v>
      </c>
      <c r="C350" s="36" t="s">
        <v>366</v>
      </c>
      <c r="D350" s="53">
        <v>505</v>
      </c>
      <c r="E350" s="53" t="s">
        <v>833</v>
      </c>
      <c r="F350" s="53" t="s">
        <v>12</v>
      </c>
      <c r="G350" s="54">
        <v>42111</v>
      </c>
      <c r="H350" s="53">
        <v>1043</v>
      </c>
      <c r="I350" s="53">
        <v>869</v>
      </c>
      <c r="J350" s="39" t="s">
        <v>33</v>
      </c>
      <c r="K350" s="39" t="s">
        <v>836</v>
      </c>
      <c r="L350" s="39"/>
      <c r="M350" s="37">
        <v>42325</v>
      </c>
      <c r="N350" s="39">
        <v>5.32</v>
      </c>
      <c r="O350" s="40">
        <v>984</v>
      </c>
    </row>
    <row r="351" spans="1:15" x14ac:dyDescent="0.55000000000000004">
      <c r="A351" s="24" t="str">
        <f>IF(COUNTIF(B351:$B$5014,B351)&gt;1,IF(COUNTIF($B$5:B351,B351)&gt;1,"",B351&amp;"-I"),B351)</f>
        <v/>
      </c>
      <c r="B351" s="29">
        <f t="shared" si="5"/>
        <v>933</v>
      </c>
      <c r="C351" s="36" t="s">
        <v>367</v>
      </c>
      <c r="D351" s="53">
        <v>506</v>
      </c>
      <c r="E351" s="53" t="s">
        <v>833</v>
      </c>
      <c r="F351" s="53" t="s">
        <v>11</v>
      </c>
      <c r="G351" s="54">
        <v>42111</v>
      </c>
      <c r="H351" s="53">
        <v>1043</v>
      </c>
      <c r="I351" s="53">
        <v>933</v>
      </c>
      <c r="J351" s="39" t="s">
        <v>33</v>
      </c>
      <c r="K351" s="39" t="s">
        <v>836</v>
      </c>
      <c r="L351" s="39"/>
      <c r="M351" s="37">
        <v>42325</v>
      </c>
      <c r="N351" s="39">
        <v>5.32</v>
      </c>
      <c r="O351" s="40">
        <v>984</v>
      </c>
    </row>
    <row r="352" spans="1:15" x14ac:dyDescent="0.55000000000000004">
      <c r="A352" s="24" t="str">
        <f>IF(COUNTIF(B352:$B$5014,B352)&gt;1,IF(COUNTIF($B$5:B352,B352)&gt;1,"",B352&amp;"-I"),B352)</f>
        <v/>
      </c>
      <c r="B352" s="29">
        <f t="shared" si="5"/>
        <v>876</v>
      </c>
      <c r="C352" s="85" t="s">
        <v>368</v>
      </c>
      <c r="D352" s="72">
        <v>507</v>
      </c>
      <c r="E352" s="72" t="s">
        <v>833</v>
      </c>
      <c r="F352" s="72" t="s">
        <v>12</v>
      </c>
      <c r="G352" s="86">
        <v>42161</v>
      </c>
      <c r="H352" s="72">
        <v>1043</v>
      </c>
      <c r="I352" s="72">
        <v>876</v>
      </c>
      <c r="J352" s="47" t="s">
        <v>33</v>
      </c>
      <c r="K352" s="47" t="s">
        <v>1157</v>
      </c>
      <c r="L352" s="39" t="s">
        <v>853</v>
      </c>
      <c r="M352" s="87">
        <v>42368</v>
      </c>
      <c r="N352" s="47" t="s">
        <v>864</v>
      </c>
      <c r="O352" s="50" t="s">
        <v>864</v>
      </c>
    </row>
    <row r="353" spans="1:15" x14ac:dyDescent="0.55000000000000004">
      <c r="A353" s="24" t="str">
        <f>IF(COUNTIF(B353:$B$5014,B353)&gt;1,IF(COUNTIF($B$5:B353,B353)&gt;1,"",B353&amp;"-I"),B353)</f>
        <v/>
      </c>
      <c r="B353" s="29">
        <f t="shared" si="5"/>
        <v>876</v>
      </c>
      <c r="C353" s="36" t="s">
        <v>369</v>
      </c>
      <c r="D353" s="53">
        <v>508</v>
      </c>
      <c r="E353" s="53" t="s">
        <v>833</v>
      </c>
      <c r="F353" s="53" t="s">
        <v>11</v>
      </c>
      <c r="G353" s="54">
        <v>42161</v>
      </c>
      <c r="H353" s="53">
        <v>1043</v>
      </c>
      <c r="I353" s="53">
        <v>876</v>
      </c>
      <c r="J353" s="39" t="s">
        <v>33</v>
      </c>
      <c r="K353" s="39" t="s">
        <v>836</v>
      </c>
      <c r="L353" s="39"/>
      <c r="M353" s="37">
        <v>42325</v>
      </c>
      <c r="N353" s="39">
        <v>5.32</v>
      </c>
      <c r="O353" s="40">
        <v>984</v>
      </c>
    </row>
    <row r="354" spans="1:15" x14ac:dyDescent="0.55000000000000004">
      <c r="A354" s="24" t="str">
        <f>IF(COUNTIF(B354:$B$5014,B354)&gt;1,IF(COUNTIF($B$5:B354,B354)&gt;1,"",B354&amp;"-I"),B354)</f>
        <v/>
      </c>
      <c r="B354" s="29">
        <f t="shared" si="5"/>
        <v>947</v>
      </c>
      <c r="C354" s="36" t="s">
        <v>370</v>
      </c>
      <c r="D354" s="53">
        <v>509</v>
      </c>
      <c r="E354" s="53" t="s">
        <v>833</v>
      </c>
      <c r="F354" s="53" t="s">
        <v>11</v>
      </c>
      <c r="G354" s="54">
        <v>42203</v>
      </c>
      <c r="H354" s="53">
        <v>1055</v>
      </c>
      <c r="I354" s="53">
        <v>947</v>
      </c>
      <c r="J354" s="39" t="s">
        <v>33</v>
      </c>
      <c r="K354" s="39" t="s">
        <v>837</v>
      </c>
      <c r="L354" s="39"/>
      <c r="M354" s="37">
        <v>42612</v>
      </c>
      <c r="N354" s="38">
        <v>5</v>
      </c>
      <c r="O354" s="40">
        <v>900</v>
      </c>
    </row>
    <row r="355" spans="1:15" x14ac:dyDescent="0.55000000000000004">
      <c r="A355" s="24" t="str">
        <f>IF(COUNTIF(B355:$B$5014,B355)&gt;1,IF(COUNTIF($B$5:B355,B355)&gt;1,"",B355&amp;"-I"),B355)</f>
        <v/>
      </c>
      <c r="B355" s="29">
        <f t="shared" si="5"/>
        <v>886</v>
      </c>
      <c r="C355" s="36" t="s">
        <v>371</v>
      </c>
      <c r="D355" s="53">
        <v>510</v>
      </c>
      <c r="E355" s="53" t="s">
        <v>833</v>
      </c>
      <c r="F355" s="53" t="s">
        <v>12</v>
      </c>
      <c r="G355" s="54">
        <v>42214</v>
      </c>
      <c r="H355" s="53">
        <v>1055</v>
      </c>
      <c r="I355" s="53">
        <v>886</v>
      </c>
      <c r="J355" s="39" t="s">
        <v>33</v>
      </c>
      <c r="K355" s="39" t="s">
        <v>837</v>
      </c>
      <c r="L355" s="39"/>
      <c r="M355" s="37">
        <v>42612</v>
      </c>
      <c r="N355" s="39">
        <v>5.75</v>
      </c>
      <c r="O355" s="40">
        <v>978</v>
      </c>
    </row>
    <row r="356" spans="1:15" x14ac:dyDescent="0.55000000000000004">
      <c r="A356" s="24" t="str">
        <f>IF(COUNTIF(B356:$B$5014,B356)&gt;1,IF(COUNTIF($B$5:B356,B356)&gt;1,"",B356&amp;"-I"),B356)</f>
        <v/>
      </c>
      <c r="B356" s="29">
        <f t="shared" si="5"/>
        <v>873</v>
      </c>
      <c r="C356" s="36" t="s">
        <v>372</v>
      </c>
      <c r="D356" s="53">
        <v>511</v>
      </c>
      <c r="E356" s="53" t="s">
        <v>833</v>
      </c>
      <c r="F356" s="53" t="s">
        <v>12</v>
      </c>
      <c r="G356" s="54">
        <v>42217</v>
      </c>
      <c r="H356" s="53">
        <v>1055</v>
      </c>
      <c r="I356" s="53">
        <v>873</v>
      </c>
      <c r="J356" s="39" t="s">
        <v>33</v>
      </c>
      <c r="K356" s="39" t="s">
        <v>837</v>
      </c>
      <c r="L356" s="39"/>
      <c r="M356" s="37">
        <v>42612</v>
      </c>
      <c r="N356" s="39">
        <v>5.75</v>
      </c>
      <c r="O356" s="40">
        <v>975</v>
      </c>
    </row>
    <row r="357" spans="1:15" x14ac:dyDescent="0.55000000000000004">
      <c r="A357" s="24" t="str">
        <f>IF(COUNTIF(B357:$B$5014,B357)&gt;1,IF(COUNTIF($B$5:B357,B357)&gt;1,"",B357&amp;"-I"),B357)</f>
        <v/>
      </c>
      <c r="B357" s="29">
        <f t="shared" si="5"/>
        <v>890</v>
      </c>
      <c r="C357" s="36" t="s">
        <v>373</v>
      </c>
      <c r="D357" s="53">
        <v>512</v>
      </c>
      <c r="E357" s="53" t="s">
        <v>833</v>
      </c>
      <c r="F357" s="53" t="s">
        <v>11</v>
      </c>
      <c r="G357" s="54">
        <v>42220</v>
      </c>
      <c r="H357" s="53">
        <v>1055</v>
      </c>
      <c r="I357" s="53">
        <v>890</v>
      </c>
      <c r="J357" s="39" t="s">
        <v>33</v>
      </c>
      <c r="K357" s="39" t="s">
        <v>837</v>
      </c>
      <c r="L357" s="39"/>
      <c r="M357" s="37">
        <v>42612</v>
      </c>
      <c r="N357" s="38">
        <v>5</v>
      </c>
      <c r="O357" s="40">
        <v>900</v>
      </c>
    </row>
    <row r="358" spans="1:15" x14ac:dyDescent="0.55000000000000004">
      <c r="A358" s="24" t="str">
        <f>IF(COUNTIF(B358:$B$5014,B358)&gt;1,IF(COUNTIF($B$5:B358,B358)&gt;1,"",B358&amp;"-I"),B358)</f>
        <v/>
      </c>
      <c r="B358" s="29">
        <f t="shared" si="5"/>
        <v>956</v>
      </c>
      <c r="C358" s="36" t="s">
        <v>374</v>
      </c>
      <c r="D358" s="53">
        <v>513</v>
      </c>
      <c r="E358" s="53" t="s">
        <v>834</v>
      </c>
      <c r="F358" s="53" t="s">
        <v>11</v>
      </c>
      <c r="G358" s="54">
        <v>42222</v>
      </c>
      <c r="H358" s="53">
        <v>1055</v>
      </c>
      <c r="I358" s="53">
        <v>956</v>
      </c>
      <c r="J358" s="39" t="s">
        <v>33</v>
      </c>
      <c r="K358" s="39" t="s">
        <v>837</v>
      </c>
      <c r="L358" s="39"/>
      <c r="M358" s="37">
        <v>42612</v>
      </c>
      <c r="N358" s="38">
        <v>5</v>
      </c>
      <c r="O358" s="40">
        <v>900</v>
      </c>
    </row>
    <row r="359" spans="1:15" x14ac:dyDescent="0.55000000000000004">
      <c r="A359" s="24" t="str">
        <f>IF(COUNTIF(B359:$B$5014,B359)&gt;1,IF(COUNTIF($B$5:B359,B359)&gt;1,"",B359&amp;"-I"),B359)</f>
        <v/>
      </c>
      <c r="B359" s="29">
        <f t="shared" si="5"/>
        <v>926</v>
      </c>
      <c r="C359" s="36" t="s">
        <v>375</v>
      </c>
      <c r="D359" s="53">
        <v>515</v>
      </c>
      <c r="E359" s="53" t="s">
        <v>834</v>
      </c>
      <c r="F359" s="53" t="s">
        <v>11</v>
      </c>
      <c r="G359" s="54">
        <v>42227</v>
      </c>
      <c r="H359" s="53">
        <v>1055</v>
      </c>
      <c r="I359" s="53">
        <v>926</v>
      </c>
      <c r="J359" s="39" t="s">
        <v>33</v>
      </c>
      <c r="K359" s="39" t="s">
        <v>837</v>
      </c>
      <c r="L359" s="39"/>
      <c r="M359" s="37">
        <v>42612</v>
      </c>
      <c r="N359" s="38">
        <v>5</v>
      </c>
      <c r="O359" s="40">
        <v>900</v>
      </c>
    </row>
    <row r="360" spans="1:15" x14ac:dyDescent="0.55000000000000004">
      <c r="A360" s="24" t="str">
        <f>IF(COUNTIF(B360:$B$5014,B360)&gt;1,IF(COUNTIF($B$5:B360,B360)&gt;1,"",B360&amp;"-I"),B360)</f>
        <v/>
      </c>
      <c r="B360" s="29">
        <f t="shared" si="5"/>
        <v>870</v>
      </c>
      <c r="C360" s="36" t="s">
        <v>376</v>
      </c>
      <c r="D360" s="53">
        <v>516</v>
      </c>
      <c r="E360" s="53" t="s">
        <v>833</v>
      </c>
      <c r="F360" s="53" t="s">
        <v>12</v>
      </c>
      <c r="G360" s="54">
        <v>42229</v>
      </c>
      <c r="H360" s="53">
        <v>1055</v>
      </c>
      <c r="I360" s="53">
        <v>870</v>
      </c>
      <c r="J360" s="39" t="s">
        <v>33</v>
      </c>
      <c r="K360" s="39" t="s">
        <v>837</v>
      </c>
      <c r="L360" s="39"/>
      <c r="M360" s="37">
        <v>42612</v>
      </c>
      <c r="N360" s="39">
        <v>5.75</v>
      </c>
      <c r="O360" s="40">
        <v>978</v>
      </c>
    </row>
    <row r="361" spans="1:15" x14ac:dyDescent="0.55000000000000004">
      <c r="A361" s="24" t="str">
        <f>IF(COUNTIF(B361:$B$5014,B361)&gt;1,IF(COUNTIF($B$5:B361,B361)&gt;1,"",B361&amp;"-I"),B361)</f>
        <v/>
      </c>
      <c r="B361" s="29">
        <f t="shared" si="5"/>
        <v>877</v>
      </c>
      <c r="C361" s="36" t="s">
        <v>377</v>
      </c>
      <c r="D361" s="53">
        <v>517</v>
      </c>
      <c r="E361" s="53" t="s">
        <v>833</v>
      </c>
      <c r="F361" s="53" t="s">
        <v>11</v>
      </c>
      <c r="G361" s="54">
        <v>42231</v>
      </c>
      <c r="H361" s="53">
        <v>1055</v>
      </c>
      <c r="I361" s="53">
        <v>877</v>
      </c>
      <c r="J361" s="39" t="s">
        <v>33</v>
      </c>
      <c r="K361" s="39" t="s">
        <v>837</v>
      </c>
      <c r="L361" s="39"/>
      <c r="M361" s="37">
        <v>42612</v>
      </c>
      <c r="N361" s="38">
        <v>5</v>
      </c>
      <c r="O361" s="40">
        <v>900</v>
      </c>
    </row>
    <row r="362" spans="1:15" x14ac:dyDescent="0.55000000000000004">
      <c r="A362" s="24" t="str">
        <f>IF(COUNTIF(B362:$B$5014,B362)&gt;1,IF(COUNTIF($B$5:B362,B362)&gt;1,"",B362&amp;"-I"),B362)</f>
        <v/>
      </c>
      <c r="B362" s="29">
        <f t="shared" si="5"/>
        <v>882</v>
      </c>
      <c r="C362" s="36" t="s">
        <v>378</v>
      </c>
      <c r="D362" s="53">
        <v>518</v>
      </c>
      <c r="E362" s="53" t="s">
        <v>834</v>
      </c>
      <c r="F362" s="53" t="s">
        <v>11</v>
      </c>
      <c r="G362" s="54">
        <v>42232</v>
      </c>
      <c r="H362" s="53">
        <v>1055</v>
      </c>
      <c r="I362" s="53">
        <v>882</v>
      </c>
      <c r="J362" s="39" t="s">
        <v>33</v>
      </c>
      <c r="K362" s="39" t="s">
        <v>837</v>
      </c>
      <c r="L362" s="39"/>
      <c r="M362" s="37">
        <v>42612</v>
      </c>
      <c r="N362" s="38">
        <v>5</v>
      </c>
      <c r="O362" s="40">
        <v>900</v>
      </c>
    </row>
    <row r="363" spans="1:15" x14ac:dyDescent="0.55000000000000004">
      <c r="A363" s="24" t="str">
        <f>IF(COUNTIF(B363:$B$5014,B363)&gt;1,IF(COUNTIF($B$5:B363,B363)&gt;1,"",B363&amp;"-I"),B363)</f>
        <v/>
      </c>
      <c r="B363" s="29">
        <f t="shared" si="5"/>
        <v>966</v>
      </c>
      <c r="C363" s="36" t="s">
        <v>379</v>
      </c>
      <c r="D363" s="53">
        <v>519</v>
      </c>
      <c r="E363" s="53" t="s">
        <v>833</v>
      </c>
      <c r="F363" s="53" t="s">
        <v>11</v>
      </c>
      <c r="G363" s="54">
        <v>42234</v>
      </c>
      <c r="H363" s="53">
        <v>1055</v>
      </c>
      <c r="I363" s="53">
        <v>966</v>
      </c>
      <c r="J363" s="39" t="s">
        <v>33</v>
      </c>
      <c r="K363" s="39" t="s">
        <v>837</v>
      </c>
      <c r="L363" s="39"/>
      <c r="M363" s="37">
        <v>42612</v>
      </c>
      <c r="N363" s="38">
        <v>5</v>
      </c>
      <c r="O363" s="40">
        <v>900</v>
      </c>
    </row>
    <row r="364" spans="1:15" x14ac:dyDescent="0.55000000000000004">
      <c r="A364" s="24" t="str">
        <f>IF(COUNTIF(B364:$B$5014,B364)&gt;1,IF(COUNTIF($B$5:B364,B364)&gt;1,"",B364&amp;"-I"),B364)</f>
        <v>981-I</v>
      </c>
      <c r="B364" s="29">
        <f t="shared" si="5"/>
        <v>981</v>
      </c>
      <c r="C364" s="36" t="s">
        <v>380</v>
      </c>
      <c r="D364" s="53">
        <v>520</v>
      </c>
      <c r="E364" s="53" t="s">
        <v>833</v>
      </c>
      <c r="F364" s="53" t="s">
        <v>11</v>
      </c>
      <c r="G364" s="54">
        <v>42240</v>
      </c>
      <c r="H364" s="53" t="s">
        <v>842</v>
      </c>
      <c r="I364" s="53">
        <v>981</v>
      </c>
      <c r="J364" s="39" t="s">
        <v>33</v>
      </c>
      <c r="K364" s="39" t="s">
        <v>837</v>
      </c>
      <c r="L364" s="39"/>
      <c r="M364" s="37">
        <v>42612</v>
      </c>
      <c r="N364" s="38">
        <v>5</v>
      </c>
      <c r="O364" s="40">
        <v>900</v>
      </c>
    </row>
    <row r="365" spans="1:15" x14ac:dyDescent="0.55000000000000004">
      <c r="A365" s="24" t="str">
        <f>IF(COUNTIF(B365:$B$5014,B365)&gt;1,IF(COUNTIF($B$5:B365,B365)&gt;1,"",B365&amp;"-I"),B365)</f>
        <v/>
      </c>
      <c r="B365" s="29">
        <f t="shared" si="5"/>
        <v>934</v>
      </c>
      <c r="C365" s="36" t="s">
        <v>381</v>
      </c>
      <c r="D365" s="53">
        <v>521</v>
      </c>
      <c r="E365" s="53" t="s">
        <v>834</v>
      </c>
      <c r="F365" s="53" t="s">
        <v>11</v>
      </c>
      <c r="G365" s="54">
        <v>42244</v>
      </c>
      <c r="H365" s="53">
        <v>1055</v>
      </c>
      <c r="I365" s="53">
        <v>934</v>
      </c>
      <c r="J365" s="39" t="s">
        <v>33</v>
      </c>
      <c r="K365" s="39" t="s">
        <v>837</v>
      </c>
      <c r="L365" s="39"/>
      <c r="M365" s="37">
        <v>42612</v>
      </c>
      <c r="N365" s="38">
        <v>5</v>
      </c>
      <c r="O365" s="40">
        <v>900</v>
      </c>
    </row>
    <row r="366" spans="1:15" x14ac:dyDescent="0.55000000000000004">
      <c r="A366" s="24" t="str">
        <f>IF(COUNTIF(B366:$B$5014,B366)&gt;1,IF(COUNTIF($B$5:B366,B366)&gt;1,"",B366&amp;"-I"),B366)</f>
        <v/>
      </c>
      <c r="B366" s="29">
        <f t="shared" si="5"/>
        <v>959</v>
      </c>
      <c r="C366" s="36" t="s">
        <v>382</v>
      </c>
      <c r="D366" s="53">
        <v>523</v>
      </c>
      <c r="E366" s="53" t="s">
        <v>833</v>
      </c>
      <c r="F366" s="53" t="s">
        <v>11</v>
      </c>
      <c r="G366" s="54">
        <v>42250</v>
      </c>
      <c r="H366" s="53">
        <v>1055</v>
      </c>
      <c r="I366" s="53">
        <v>959</v>
      </c>
      <c r="J366" s="39" t="s">
        <v>33</v>
      </c>
      <c r="K366" s="39" t="s">
        <v>837</v>
      </c>
      <c r="L366" s="39"/>
      <c r="M366" s="37">
        <v>42612</v>
      </c>
      <c r="N366" s="38">
        <v>5</v>
      </c>
      <c r="O366" s="40">
        <v>900</v>
      </c>
    </row>
    <row r="367" spans="1:15" x14ac:dyDescent="0.55000000000000004">
      <c r="A367" s="24" t="str">
        <f>IF(COUNTIF(B367:$B$5014,B367)&gt;1,IF(COUNTIF($B$5:B367,B367)&gt;1,"",B367&amp;"-I"),B367)</f>
        <v/>
      </c>
      <c r="B367" s="29">
        <f t="shared" si="5"/>
        <v>899</v>
      </c>
      <c r="C367" s="36" t="s">
        <v>383</v>
      </c>
      <c r="D367" s="53">
        <v>524</v>
      </c>
      <c r="E367" s="53" t="s">
        <v>833</v>
      </c>
      <c r="F367" s="53" t="s">
        <v>12</v>
      </c>
      <c r="G367" s="54">
        <v>42250</v>
      </c>
      <c r="H367" s="53">
        <v>1055</v>
      </c>
      <c r="I367" s="53">
        <v>899</v>
      </c>
      <c r="J367" s="39" t="s">
        <v>33</v>
      </c>
      <c r="K367" s="39" t="s">
        <v>837</v>
      </c>
      <c r="L367" s="39"/>
      <c r="M367" s="37">
        <v>42612</v>
      </c>
      <c r="N367" s="39">
        <v>5.75</v>
      </c>
      <c r="O367" s="40">
        <v>978</v>
      </c>
    </row>
    <row r="368" spans="1:15" x14ac:dyDescent="0.55000000000000004">
      <c r="A368" s="24" t="str">
        <f>IF(COUNTIF(B368:$B$5014,B368)&gt;1,IF(COUNTIF($B$5:B368,B368)&gt;1,"",B368&amp;"-I"),B368)</f>
        <v/>
      </c>
      <c r="B368" s="29">
        <f t="shared" si="5"/>
        <v>968</v>
      </c>
      <c r="C368" s="36" t="s">
        <v>384</v>
      </c>
      <c r="D368" s="53">
        <v>525</v>
      </c>
      <c r="E368" s="53" t="s">
        <v>833</v>
      </c>
      <c r="F368" s="53" t="s">
        <v>11</v>
      </c>
      <c r="G368" s="54">
        <v>42251</v>
      </c>
      <c r="H368" s="53">
        <v>1055</v>
      </c>
      <c r="I368" s="53">
        <v>968</v>
      </c>
      <c r="J368" s="39" t="s">
        <v>33</v>
      </c>
      <c r="K368" s="39" t="s">
        <v>837</v>
      </c>
      <c r="L368" s="39"/>
      <c r="M368" s="37">
        <v>42612</v>
      </c>
      <c r="N368" s="38">
        <v>5</v>
      </c>
      <c r="O368" s="40">
        <v>900</v>
      </c>
    </row>
    <row r="369" spans="1:16" x14ac:dyDescent="0.55000000000000004">
      <c r="A369" s="24" t="str">
        <f>IF(COUNTIF(B369:$B$5014,B369)&gt;1,IF(COUNTIF($B$5:B369,B369)&gt;1,"",B369&amp;"-I"),B369)</f>
        <v/>
      </c>
      <c r="B369" s="29">
        <f t="shared" si="5"/>
        <v>897</v>
      </c>
      <c r="C369" s="36" t="s">
        <v>385</v>
      </c>
      <c r="D369" s="53">
        <v>526</v>
      </c>
      <c r="E369" s="53" t="s">
        <v>833</v>
      </c>
      <c r="F369" s="53" t="s">
        <v>12</v>
      </c>
      <c r="G369" s="54">
        <v>42252</v>
      </c>
      <c r="H369" s="53">
        <v>1055</v>
      </c>
      <c r="I369" s="53">
        <v>897</v>
      </c>
      <c r="J369" s="39" t="s">
        <v>33</v>
      </c>
      <c r="K369" s="39" t="s">
        <v>837</v>
      </c>
      <c r="L369" s="39"/>
      <c r="M369" s="37">
        <v>42612</v>
      </c>
      <c r="N369" s="39">
        <v>5.75</v>
      </c>
      <c r="O369" s="40">
        <v>978</v>
      </c>
    </row>
    <row r="370" spans="1:16" x14ac:dyDescent="0.55000000000000004">
      <c r="A370" s="24" t="str">
        <f>IF(COUNTIF(B370:$B$5014,B370)&gt;1,IF(COUNTIF($B$5:B370,B370)&gt;1,"",B370&amp;"-I"),B370)</f>
        <v/>
      </c>
      <c r="B370" s="29">
        <f t="shared" si="5"/>
        <v>973</v>
      </c>
      <c r="C370" s="36" t="s">
        <v>386</v>
      </c>
      <c r="D370" s="53">
        <v>528</v>
      </c>
      <c r="E370" s="53" t="s">
        <v>833</v>
      </c>
      <c r="F370" s="53" t="s">
        <v>11</v>
      </c>
      <c r="G370" s="54">
        <v>42256</v>
      </c>
      <c r="H370" s="53">
        <v>1055</v>
      </c>
      <c r="I370" s="53">
        <v>973</v>
      </c>
      <c r="J370" s="39" t="s">
        <v>33</v>
      </c>
      <c r="K370" s="39" t="s">
        <v>837</v>
      </c>
      <c r="L370" s="39"/>
      <c r="M370" s="37">
        <v>42612</v>
      </c>
      <c r="N370" s="38">
        <v>5</v>
      </c>
      <c r="O370" s="40">
        <v>900</v>
      </c>
    </row>
    <row r="371" spans="1:16" x14ac:dyDescent="0.55000000000000004">
      <c r="A371" s="24" t="str">
        <f>IF(COUNTIF(B371:$B$5014,B371)&gt;1,IF(COUNTIF($B$5:B371,B371)&gt;1,"",B371&amp;"-I"),B371)</f>
        <v/>
      </c>
      <c r="B371" s="29">
        <f t="shared" si="5"/>
        <v>945</v>
      </c>
      <c r="C371" s="36" t="s">
        <v>387</v>
      </c>
      <c r="D371" s="53">
        <v>529</v>
      </c>
      <c r="E371" s="53" t="s">
        <v>833</v>
      </c>
      <c r="F371" s="53" t="s">
        <v>11</v>
      </c>
      <c r="G371" s="54">
        <v>42271</v>
      </c>
      <c r="H371" s="53">
        <v>1055</v>
      </c>
      <c r="I371" s="53">
        <v>945</v>
      </c>
      <c r="J371" s="39" t="s">
        <v>33</v>
      </c>
      <c r="K371" s="39" t="s">
        <v>837</v>
      </c>
      <c r="L371" s="39"/>
      <c r="M371" s="37">
        <v>42612</v>
      </c>
      <c r="N371" s="38">
        <v>5</v>
      </c>
      <c r="O371" s="40">
        <v>900</v>
      </c>
    </row>
    <row r="372" spans="1:16" x14ac:dyDescent="0.55000000000000004">
      <c r="A372" s="24" t="str">
        <f>IF(COUNTIF(B372:$B$5014,B372)&gt;1,IF(COUNTIF($B$5:B372,B372)&gt;1,"",B372&amp;"-I"),B372)</f>
        <v/>
      </c>
      <c r="B372" s="29">
        <f t="shared" si="5"/>
        <v>944</v>
      </c>
      <c r="C372" s="36" t="s">
        <v>388</v>
      </c>
      <c r="D372" s="53">
        <v>530</v>
      </c>
      <c r="E372" s="53" t="s">
        <v>833</v>
      </c>
      <c r="F372" s="53" t="s">
        <v>11</v>
      </c>
      <c r="G372" s="54">
        <v>42272</v>
      </c>
      <c r="H372" s="53">
        <v>1043</v>
      </c>
      <c r="I372" s="53">
        <v>944</v>
      </c>
      <c r="J372" s="39" t="s">
        <v>33</v>
      </c>
      <c r="K372" s="39" t="s">
        <v>837</v>
      </c>
      <c r="L372" s="39"/>
      <c r="M372" s="37">
        <v>42612</v>
      </c>
      <c r="N372" s="38">
        <v>5</v>
      </c>
      <c r="O372" s="40">
        <v>900</v>
      </c>
    </row>
    <row r="373" spans="1:16" x14ac:dyDescent="0.55000000000000004">
      <c r="A373" s="24" t="str">
        <f>IF(COUNTIF(B373:$B$5014,B373)&gt;1,IF(COUNTIF($B$5:B373,B373)&gt;1,"",B373&amp;"-I"),B373)</f>
        <v>983-I</v>
      </c>
      <c r="B373" s="29">
        <f t="shared" si="5"/>
        <v>983</v>
      </c>
      <c r="C373" s="36" t="s">
        <v>389</v>
      </c>
      <c r="D373" s="53">
        <v>531</v>
      </c>
      <c r="E373" s="53" t="s">
        <v>833</v>
      </c>
      <c r="F373" s="53" t="s">
        <v>11</v>
      </c>
      <c r="G373" s="54">
        <v>42273</v>
      </c>
      <c r="H373" s="53" t="s">
        <v>842</v>
      </c>
      <c r="I373" s="53">
        <v>983</v>
      </c>
      <c r="J373" s="39" t="s">
        <v>33</v>
      </c>
      <c r="K373" s="39" t="s">
        <v>837</v>
      </c>
      <c r="L373" s="39"/>
      <c r="M373" s="37">
        <v>42612</v>
      </c>
      <c r="N373" s="38">
        <v>5</v>
      </c>
      <c r="O373" s="40">
        <v>900</v>
      </c>
      <c r="P373" s="100" t="s">
        <v>913</v>
      </c>
    </row>
    <row r="374" spans="1:16" x14ac:dyDescent="0.55000000000000004">
      <c r="A374" s="24" t="str">
        <f>IF(COUNTIF(B374:$B$5014,B374)&gt;1,IF(COUNTIF($B$5:B374,B374)&gt;1,"",B374&amp;"-I"),B374)</f>
        <v>987-I</v>
      </c>
      <c r="B374" s="29">
        <f t="shared" si="5"/>
        <v>987</v>
      </c>
      <c r="C374" s="36" t="s">
        <v>390</v>
      </c>
      <c r="D374" s="53">
        <v>532</v>
      </c>
      <c r="E374" s="53" t="s">
        <v>834</v>
      </c>
      <c r="F374" s="53" t="s">
        <v>12</v>
      </c>
      <c r="G374" s="54">
        <v>42282</v>
      </c>
      <c r="H374" s="53" t="s">
        <v>842</v>
      </c>
      <c r="I374" s="53">
        <v>987</v>
      </c>
      <c r="J374" s="39" t="s">
        <v>33</v>
      </c>
      <c r="K374" s="39" t="s">
        <v>837</v>
      </c>
      <c r="L374" s="39"/>
      <c r="M374" s="37">
        <v>42612</v>
      </c>
      <c r="N374" s="39">
        <v>5.75</v>
      </c>
      <c r="O374" s="40">
        <v>978</v>
      </c>
    </row>
    <row r="375" spans="1:16" x14ac:dyDescent="0.55000000000000004">
      <c r="A375" s="24" t="str">
        <f>IF(COUNTIF(B375:$B$5014,B375)&gt;1,IF(COUNTIF($B$5:B375,B375)&gt;1,"",B375&amp;"-I"),B375)</f>
        <v>979-I</v>
      </c>
      <c r="B375" s="29">
        <f t="shared" si="5"/>
        <v>979</v>
      </c>
      <c r="C375" s="36" t="s">
        <v>391</v>
      </c>
      <c r="D375" s="53">
        <v>533</v>
      </c>
      <c r="E375" s="53" t="s">
        <v>833</v>
      </c>
      <c r="F375" s="53" t="s">
        <v>12</v>
      </c>
      <c r="G375" s="54">
        <v>42291</v>
      </c>
      <c r="H375" s="53">
        <v>1043</v>
      </c>
      <c r="I375" s="53">
        <v>979</v>
      </c>
      <c r="J375" s="39" t="s">
        <v>33</v>
      </c>
      <c r="K375" s="39" t="s">
        <v>851</v>
      </c>
      <c r="L375" s="39"/>
      <c r="M375" s="37">
        <v>42710</v>
      </c>
      <c r="N375" s="39">
        <v>4.95</v>
      </c>
      <c r="O375" s="40">
        <v>842</v>
      </c>
    </row>
    <row r="376" spans="1:16" x14ac:dyDescent="0.55000000000000004">
      <c r="A376" s="24" t="str">
        <f>IF(COUNTIF(B376:$B$5014,B376)&gt;1,IF(COUNTIF($B$5:B376,B376)&gt;1,"",B376&amp;"-I"),B376)</f>
        <v>991-I</v>
      </c>
      <c r="B376" s="29">
        <f t="shared" si="5"/>
        <v>991</v>
      </c>
      <c r="C376" s="36" t="s">
        <v>392</v>
      </c>
      <c r="D376" s="53">
        <v>534</v>
      </c>
      <c r="E376" s="53" t="s">
        <v>833</v>
      </c>
      <c r="F376" s="53" t="s">
        <v>12</v>
      </c>
      <c r="G376" s="54">
        <v>42295</v>
      </c>
      <c r="H376" s="53">
        <v>1043</v>
      </c>
      <c r="I376" s="53">
        <v>991</v>
      </c>
      <c r="J376" s="39" t="s">
        <v>33</v>
      </c>
      <c r="K376" s="39" t="s">
        <v>851</v>
      </c>
      <c r="L376" s="39"/>
      <c r="M376" s="37">
        <v>42710</v>
      </c>
      <c r="N376" s="39">
        <v>4.95</v>
      </c>
      <c r="O376" s="40">
        <v>842</v>
      </c>
    </row>
    <row r="377" spans="1:16" x14ac:dyDescent="0.55000000000000004">
      <c r="A377" s="24" t="str">
        <f>IF(COUNTIF(B377:$B$5014,B377)&gt;1,IF(COUNTIF($B$5:B377,B377)&gt;1,"",B377&amp;"-I"),B377)</f>
        <v/>
      </c>
      <c r="B377" s="29">
        <f t="shared" si="5"/>
        <v>965</v>
      </c>
      <c r="C377" s="36" t="s">
        <v>393</v>
      </c>
      <c r="D377" s="53">
        <v>535</v>
      </c>
      <c r="E377" s="53" t="s">
        <v>833</v>
      </c>
      <c r="F377" s="53" t="s">
        <v>12</v>
      </c>
      <c r="G377" s="54">
        <v>42297</v>
      </c>
      <c r="H377" s="53">
        <v>1043</v>
      </c>
      <c r="I377" s="53">
        <v>965</v>
      </c>
      <c r="J377" s="39" t="s">
        <v>33</v>
      </c>
      <c r="K377" s="39" t="s">
        <v>851</v>
      </c>
      <c r="L377" s="39"/>
      <c r="M377" s="37">
        <v>42710</v>
      </c>
      <c r="N377" s="39">
        <v>4.95</v>
      </c>
      <c r="O377" s="40">
        <v>842</v>
      </c>
    </row>
    <row r="378" spans="1:16" x14ac:dyDescent="0.55000000000000004">
      <c r="A378" s="24" t="str">
        <f>IF(COUNTIF(B378:$B$5014,B378)&gt;1,IF(COUNTIF($B$5:B378,B378)&gt;1,"",B378&amp;"-I"),B378)</f>
        <v/>
      </c>
      <c r="B378" s="29">
        <f t="shared" si="5"/>
        <v>939</v>
      </c>
      <c r="C378" s="36" t="s">
        <v>394</v>
      </c>
      <c r="D378" s="53">
        <v>536</v>
      </c>
      <c r="E378" s="53" t="s">
        <v>833</v>
      </c>
      <c r="F378" s="53" t="s">
        <v>12</v>
      </c>
      <c r="G378" s="54">
        <v>42311</v>
      </c>
      <c r="H378" s="53">
        <v>1055</v>
      </c>
      <c r="I378" s="53">
        <v>939</v>
      </c>
      <c r="J378" s="39" t="s">
        <v>33</v>
      </c>
      <c r="K378" s="39" t="s">
        <v>851</v>
      </c>
      <c r="L378" s="39"/>
      <c r="M378" s="37">
        <v>42710</v>
      </c>
      <c r="N378" s="39">
        <v>4.95</v>
      </c>
      <c r="O378" s="40">
        <v>842</v>
      </c>
    </row>
    <row r="379" spans="1:16" x14ac:dyDescent="0.55000000000000004">
      <c r="A379" s="24" t="str">
        <f>IF(COUNTIF(B379:$B$5014,B379)&gt;1,IF(COUNTIF($B$5:B379,B379)&gt;1,"",B379&amp;"-I"),B379)</f>
        <v/>
      </c>
      <c r="B379" s="29">
        <f t="shared" si="5"/>
        <v>967</v>
      </c>
      <c r="C379" s="36" t="s">
        <v>395</v>
      </c>
      <c r="D379" s="53">
        <v>537</v>
      </c>
      <c r="E379" s="53" t="s">
        <v>834</v>
      </c>
      <c r="F379" s="53" t="s">
        <v>12</v>
      </c>
      <c r="G379" s="54">
        <v>42311</v>
      </c>
      <c r="H379" s="53">
        <v>1055</v>
      </c>
      <c r="I379" s="53">
        <v>967</v>
      </c>
      <c r="J379" s="39" t="s">
        <v>33</v>
      </c>
      <c r="K379" s="39" t="s">
        <v>851</v>
      </c>
      <c r="L379" s="39"/>
      <c r="M379" s="37">
        <v>42710</v>
      </c>
      <c r="N379" s="39">
        <v>4.95</v>
      </c>
      <c r="O379" s="40">
        <v>842</v>
      </c>
    </row>
    <row r="380" spans="1:16" x14ac:dyDescent="0.55000000000000004">
      <c r="A380" s="24" t="str">
        <f>IF(COUNTIF(B380:$B$5014,B380)&gt;1,IF(COUNTIF($B$5:B380,B380)&gt;1,"",B380&amp;"-I"),B380)</f>
        <v/>
      </c>
      <c r="B380" s="29">
        <f t="shared" si="5"/>
        <v>943</v>
      </c>
      <c r="C380" s="36" t="s">
        <v>396</v>
      </c>
      <c r="D380" s="53">
        <v>538</v>
      </c>
      <c r="E380" s="53" t="s">
        <v>833</v>
      </c>
      <c r="F380" s="53" t="s">
        <v>11</v>
      </c>
      <c r="G380" s="54">
        <v>42313</v>
      </c>
      <c r="H380" s="53">
        <v>1043</v>
      </c>
      <c r="I380" s="53">
        <v>943</v>
      </c>
      <c r="J380" s="39" t="s">
        <v>33</v>
      </c>
      <c r="K380" s="39" t="s">
        <v>837</v>
      </c>
      <c r="L380" s="39"/>
      <c r="M380" s="37">
        <v>42612</v>
      </c>
      <c r="N380" s="38">
        <v>5</v>
      </c>
      <c r="O380" s="40">
        <v>900</v>
      </c>
    </row>
    <row r="381" spans="1:16" x14ac:dyDescent="0.55000000000000004">
      <c r="A381" s="24" t="str">
        <f>IF(COUNTIF(B381:$B$5014,B381)&gt;1,IF(COUNTIF($B$5:B381,B381)&gt;1,"",B381&amp;"-I"),B381)</f>
        <v/>
      </c>
      <c r="B381" s="29">
        <f t="shared" si="5"/>
        <v>954</v>
      </c>
      <c r="C381" s="36" t="s">
        <v>397</v>
      </c>
      <c r="D381" s="53">
        <v>539</v>
      </c>
      <c r="E381" s="53" t="s">
        <v>834</v>
      </c>
      <c r="F381" s="53" t="s">
        <v>11</v>
      </c>
      <c r="G381" s="54">
        <v>42317</v>
      </c>
      <c r="H381" s="53">
        <v>1055</v>
      </c>
      <c r="I381" s="53">
        <v>954</v>
      </c>
      <c r="J381" s="39" t="s">
        <v>33</v>
      </c>
      <c r="K381" s="39" t="s">
        <v>837</v>
      </c>
      <c r="L381" s="39"/>
      <c r="M381" s="37">
        <v>42612</v>
      </c>
      <c r="N381" s="38">
        <v>5</v>
      </c>
      <c r="O381" s="40">
        <v>900</v>
      </c>
    </row>
    <row r="382" spans="1:16" x14ac:dyDescent="0.55000000000000004">
      <c r="A382" s="24" t="str">
        <f>IF(COUNTIF(B382:$B$5014,B382)&gt;1,IF(COUNTIF($B$5:B382,B382)&gt;1,"",B382&amp;"-I"),B382)</f>
        <v>976-I</v>
      </c>
      <c r="B382" s="29">
        <f t="shared" si="5"/>
        <v>976</v>
      </c>
      <c r="C382" s="36" t="s">
        <v>398</v>
      </c>
      <c r="D382" s="53">
        <v>540</v>
      </c>
      <c r="E382" s="53" t="s">
        <v>833</v>
      </c>
      <c r="F382" s="53" t="s">
        <v>11</v>
      </c>
      <c r="G382" s="54">
        <v>42323</v>
      </c>
      <c r="H382" s="53">
        <v>1055</v>
      </c>
      <c r="I382" s="53">
        <v>976</v>
      </c>
      <c r="J382" s="39" t="s">
        <v>33</v>
      </c>
      <c r="K382" s="39" t="s">
        <v>837</v>
      </c>
      <c r="L382" s="39"/>
      <c r="M382" s="37">
        <v>42612</v>
      </c>
      <c r="N382" s="38">
        <v>5</v>
      </c>
      <c r="O382" s="40">
        <v>900</v>
      </c>
    </row>
    <row r="383" spans="1:16" x14ac:dyDescent="0.55000000000000004">
      <c r="A383" s="24" t="str">
        <f>IF(COUNTIF(B383:$B$5014,B383)&gt;1,IF(COUNTIF($B$5:B383,B383)&gt;1,"",B383&amp;"-I"),B383)</f>
        <v/>
      </c>
      <c r="B383" s="29">
        <f t="shared" si="5"/>
        <v>900</v>
      </c>
      <c r="C383" s="36" t="s">
        <v>399</v>
      </c>
      <c r="D383" s="53">
        <v>541</v>
      </c>
      <c r="E383" s="53" t="s">
        <v>833</v>
      </c>
      <c r="F383" s="53" t="s">
        <v>12</v>
      </c>
      <c r="G383" s="54">
        <v>42325</v>
      </c>
      <c r="H383" s="53">
        <v>1043</v>
      </c>
      <c r="I383" s="53">
        <v>900</v>
      </c>
      <c r="J383" s="39" t="s">
        <v>33</v>
      </c>
      <c r="K383" s="39" t="s">
        <v>851</v>
      </c>
      <c r="L383" s="39"/>
      <c r="M383" s="37">
        <v>42710</v>
      </c>
      <c r="N383" s="39">
        <v>4.95</v>
      </c>
      <c r="O383" s="40">
        <v>842</v>
      </c>
    </row>
    <row r="384" spans="1:16" x14ac:dyDescent="0.55000000000000004">
      <c r="A384" s="24" t="str">
        <f>IF(COUNTIF(B384:$B$5014,B384)&gt;1,IF(COUNTIF($B$5:B384,B384)&gt;1,"",B384&amp;"-I"),B384)</f>
        <v>993-I</v>
      </c>
      <c r="B384" s="29">
        <f t="shared" si="5"/>
        <v>993</v>
      </c>
      <c r="C384" s="36" t="s">
        <v>400</v>
      </c>
      <c r="D384" s="53">
        <v>542</v>
      </c>
      <c r="E384" s="53" t="s">
        <v>833</v>
      </c>
      <c r="F384" s="53" t="s">
        <v>11</v>
      </c>
      <c r="G384" s="54">
        <v>42329</v>
      </c>
      <c r="H384" s="53">
        <v>1055</v>
      </c>
      <c r="I384" s="53">
        <v>993</v>
      </c>
      <c r="J384" s="39" t="s">
        <v>33</v>
      </c>
      <c r="K384" s="39" t="s">
        <v>837</v>
      </c>
      <c r="L384" s="39"/>
      <c r="M384" s="37">
        <v>42612</v>
      </c>
      <c r="N384" s="38">
        <v>5</v>
      </c>
      <c r="O384" s="40">
        <v>900</v>
      </c>
    </row>
    <row r="385" spans="1:15" x14ac:dyDescent="0.55000000000000004">
      <c r="A385" s="24" t="str">
        <f>IF(COUNTIF(B385:$B$5014,B385)&gt;1,IF(COUNTIF($B$5:B385,B385)&gt;1,"",B385&amp;"-I"),B385)</f>
        <v/>
      </c>
      <c r="B385" s="29">
        <f t="shared" si="5"/>
        <v>951</v>
      </c>
      <c r="C385" s="36" t="s">
        <v>401</v>
      </c>
      <c r="D385" s="53">
        <v>543</v>
      </c>
      <c r="E385" s="53" t="s">
        <v>833</v>
      </c>
      <c r="F385" s="53" t="s">
        <v>11</v>
      </c>
      <c r="G385" s="54">
        <v>42329</v>
      </c>
      <c r="H385" s="53">
        <v>1043</v>
      </c>
      <c r="I385" s="53">
        <v>951</v>
      </c>
      <c r="J385" s="39" t="s">
        <v>33</v>
      </c>
      <c r="K385" s="39" t="s">
        <v>837</v>
      </c>
      <c r="L385" s="39"/>
      <c r="M385" s="37">
        <v>42612</v>
      </c>
      <c r="N385" s="38">
        <v>5</v>
      </c>
      <c r="O385" s="40">
        <v>900</v>
      </c>
    </row>
    <row r="386" spans="1:15" x14ac:dyDescent="0.55000000000000004">
      <c r="A386" s="24" t="str">
        <f>IF(COUNTIF(B386:$B$5014,B386)&gt;1,IF(COUNTIF($B$5:B386,B386)&gt;1,"",B386&amp;"-I"),B386)</f>
        <v/>
      </c>
      <c r="B386" s="29">
        <f t="shared" si="5"/>
        <v>942</v>
      </c>
      <c r="C386" s="36" t="s">
        <v>402</v>
      </c>
      <c r="D386" s="53">
        <v>544</v>
      </c>
      <c r="E386" s="53" t="s">
        <v>833</v>
      </c>
      <c r="F386" s="53" t="s">
        <v>11</v>
      </c>
      <c r="G386" s="54">
        <v>42332</v>
      </c>
      <c r="H386" s="53">
        <v>1055</v>
      </c>
      <c r="I386" s="53">
        <v>942</v>
      </c>
      <c r="J386" s="39" t="s">
        <v>33</v>
      </c>
      <c r="K386" s="39" t="s">
        <v>837</v>
      </c>
      <c r="L386" s="39"/>
      <c r="M386" s="37">
        <v>42612</v>
      </c>
      <c r="N386" s="38">
        <v>5</v>
      </c>
      <c r="O386" s="40">
        <v>900</v>
      </c>
    </row>
    <row r="387" spans="1:15" x14ac:dyDescent="0.55000000000000004">
      <c r="A387" s="24" t="str">
        <f>IF(COUNTIF(B387:$B$5014,B387)&gt;1,IF(COUNTIF($B$5:B387,B387)&gt;1,"",B387&amp;"-I"),B387)</f>
        <v/>
      </c>
      <c r="B387" s="29">
        <f t="shared" si="5"/>
        <v>874</v>
      </c>
      <c r="C387" s="36" t="s">
        <v>403</v>
      </c>
      <c r="D387" s="53">
        <v>546</v>
      </c>
      <c r="E387" s="53" t="s">
        <v>833</v>
      </c>
      <c r="F387" s="53" t="s">
        <v>11</v>
      </c>
      <c r="G387" s="54">
        <v>42336</v>
      </c>
      <c r="H387" s="53">
        <v>1055</v>
      </c>
      <c r="I387" s="53">
        <v>874</v>
      </c>
      <c r="J387" s="39" t="s">
        <v>33</v>
      </c>
      <c r="K387" s="39" t="s">
        <v>851</v>
      </c>
      <c r="L387" s="39"/>
      <c r="M387" s="37">
        <v>42706</v>
      </c>
      <c r="N387" s="38">
        <v>4.95</v>
      </c>
      <c r="O387" s="40">
        <v>842</v>
      </c>
    </row>
    <row r="388" spans="1:15" x14ac:dyDescent="0.55000000000000004">
      <c r="A388" s="24" t="str">
        <f>IF(COUNTIF(B388:$B$5014,B388)&gt;1,IF(COUNTIF($B$5:B388,B388)&gt;1,"",B388&amp;"-I"),B388)</f>
        <v/>
      </c>
      <c r="B388" s="29">
        <f t="shared" si="5"/>
        <v>950</v>
      </c>
      <c r="C388" s="36" t="s">
        <v>404</v>
      </c>
      <c r="D388" s="53">
        <v>547</v>
      </c>
      <c r="E388" s="53" t="s">
        <v>833</v>
      </c>
      <c r="F388" s="53" t="s">
        <v>11</v>
      </c>
      <c r="G388" s="54">
        <v>42339</v>
      </c>
      <c r="H388" s="53">
        <v>1055</v>
      </c>
      <c r="I388" s="53">
        <v>950</v>
      </c>
      <c r="J388" s="39" t="s">
        <v>33</v>
      </c>
      <c r="K388" s="39" t="s">
        <v>837</v>
      </c>
      <c r="L388" s="39"/>
      <c r="M388" s="37">
        <v>42612</v>
      </c>
      <c r="N388" s="38">
        <v>5</v>
      </c>
      <c r="O388" s="40">
        <v>900</v>
      </c>
    </row>
    <row r="389" spans="1:15" x14ac:dyDescent="0.55000000000000004">
      <c r="A389" s="24" t="str">
        <f>IF(COUNTIF(B389:$B$5014,B389)&gt;1,IF(COUNTIF($B$5:B389,B389)&gt;1,"",B389&amp;"-I"),B389)</f>
        <v/>
      </c>
      <c r="B389" s="29">
        <f t="shared" ref="B389:B452" si="6">+I389</f>
        <v>867</v>
      </c>
      <c r="C389" s="36" t="s">
        <v>405</v>
      </c>
      <c r="D389" s="53">
        <v>548</v>
      </c>
      <c r="E389" s="53" t="s">
        <v>833</v>
      </c>
      <c r="F389" s="53" t="s">
        <v>11</v>
      </c>
      <c r="G389" s="54">
        <v>42339</v>
      </c>
      <c r="H389" s="53">
        <v>1055</v>
      </c>
      <c r="I389" s="53">
        <v>867</v>
      </c>
      <c r="J389" s="39" t="s">
        <v>33</v>
      </c>
      <c r="K389" s="39" t="s">
        <v>837</v>
      </c>
      <c r="L389" s="39"/>
      <c r="M389" s="37">
        <v>42612</v>
      </c>
      <c r="N389" s="38">
        <v>5</v>
      </c>
      <c r="O389" s="40">
        <v>900</v>
      </c>
    </row>
    <row r="390" spans="1:15" x14ac:dyDescent="0.55000000000000004">
      <c r="A390" s="24" t="str">
        <f>IF(COUNTIF(B390:$B$5014,B390)&gt;1,IF(COUNTIF($B$5:B390,B390)&gt;1,"",B390&amp;"-I"),B390)</f>
        <v/>
      </c>
      <c r="B390" s="29">
        <f t="shared" si="6"/>
        <v>880</v>
      </c>
      <c r="C390" s="36" t="s">
        <v>406</v>
      </c>
      <c r="D390" s="53">
        <v>549</v>
      </c>
      <c r="E390" s="53" t="s">
        <v>834</v>
      </c>
      <c r="F390" s="53" t="s">
        <v>12</v>
      </c>
      <c r="G390" s="54">
        <v>42349</v>
      </c>
      <c r="H390" s="53">
        <v>1043</v>
      </c>
      <c r="I390" s="53">
        <v>880</v>
      </c>
      <c r="J390" s="39" t="s">
        <v>33</v>
      </c>
      <c r="K390" s="39" t="s">
        <v>851</v>
      </c>
      <c r="L390" s="39"/>
      <c r="M390" s="37">
        <v>42710</v>
      </c>
      <c r="N390" s="39">
        <v>4.95</v>
      </c>
      <c r="O390" s="40">
        <v>842</v>
      </c>
    </row>
    <row r="391" spans="1:15" x14ac:dyDescent="0.55000000000000004">
      <c r="A391" s="24" t="str">
        <f>IF(COUNTIF(B391:$B$5014,B391)&gt;1,IF(COUNTIF($B$5:B391,B391)&gt;1,"",B391&amp;"-I"),B391)</f>
        <v/>
      </c>
      <c r="B391" s="29">
        <f t="shared" si="6"/>
        <v>957</v>
      </c>
      <c r="C391" s="36" t="s">
        <v>407</v>
      </c>
      <c r="D391" s="53">
        <v>550</v>
      </c>
      <c r="E391" s="53" t="s">
        <v>833</v>
      </c>
      <c r="F391" s="53" t="s">
        <v>11</v>
      </c>
      <c r="G391" s="54">
        <v>42356</v>
      </c>
      <c r="H391" s="53">
        <v>1055</v>
      </c>
      <c r="I391" s="53">
        <v>957</v>
      </c>
      <c r="J391" s="39" t="s">
        <v>33</v>
      </c>
      <c r="K391" s="39" t="s">
        <v>837</v>
      </c>
      <c r="L391" s="39"/>
      <c r="M391" s="37">
        <v>42612</v>
      </c>
      <c r="N391" s="38">
        <v>5</v>
      </c>
      <c r="O391" s="40">
        <v>900</v>
      </c>
    </row>
    <row r="392" spans="1:15" x14ac:dyDescent="0.55000000000000004">
      <c r="A392" s="24" t="str">
        <f>IF(COUNTIF(B392:$B$5014,B392)&gt;1,IF(COUNTIF($B$5:B392,B392)&gt;1,"",B392&amp;"-I"),B392)</f>
        <v>990-I</v>
      </c>
      <c r="B392" s="29">
        <f t="shared" si="6"/>
        <v>990</v>
      </c>
      <c r="C392" s="85" t="s">
        <v>408</v>
      </c>
      <c r="D392" s="72">
        <v>551</v>
      </c>
      <c r="E392" s="72" t="s">
        <v>833</v>
      </c>
      <c r="F392" s="72" t="s">
        <v>11</v>
      </c>
      <c r="G392" s="86">
        <v>42359</v>
      </c>
      <c r="H392" s="72">
        <v>1055</v>
      </c>
      <c r="I392" s="72">
        <v>990</v>
      </c>
      <c r="J392" s="47" t="s">
        <v>33</v>
      </c>
      <c r="K392" s="47" t="s">
        <v>1157</v>
      </c>
      <c r="L392" s="39" t="s">
        <v>843</v>
      </c>
      <c r="M392" s="47" t="s">
        <v>864</v>
      </c>
      <c r="N392" s="47" t="s">
        <v>864</v>
      </c>
      <c r="O392" s="50" t="s">
        <v>864</v>
      </c>
    </row>
    <row r="393" spans="1:15" x14ac:dyDescent="0.55000000000000004">
      <c r="A393" s="24" t="str">
        <f>IF(COUNTIF(B393:$B$5014,B393)&gt;1,IF(COUNTIF($B$5:B393,B393)&gt;1,"",B393&amp;"-I"),B393)</f>
        <v/>
      </c>
      <c r="B393" s="29">
        <f t="shared" si="6"/>
        <v>860</v>
      </c>
      <c r="C393" s="36" t="s">
        <v>409</v>
      </c>
      <c r="D393" s="53">
        <v>553</v>
      </c>
      <c r="E393" s="53" t="s">
        <v>833</v>
      </c>
      <c r="F393" s="53" t="s">
        <v>12</v>
      </c>
      <c r="G393" s="54">
        <v>42374</v>
      </c>
      <c r="H393" s="53">
        <v>1055</v>
      </c>
      <c r="I393" s="53">
        <v>860</v>
      </c>
      <c r="J393" s="39" t="s">
        <v>33</v>
      </c>
      <c r="K393" s="39" t="s">
        <v>851</v>
      </c>
      <c r="L393" s="39"/>
      <c r="M393" s="37">
        <v>42710</v>
      </c>
      <c r="N393" s="39">
        <v>4.95</v>
      </c>
      <c r="O393" s="40">
        <v>842</v>
      </c>
    </row>
    <row r="394" spans="1:15" x14ac:dyDescent="0.55000000000000004">
      <c r="A394" s="24" t="str">
        <f>IF(COUNTIF(B394:$B$5014,B394)&gt;1,IF(COUNTIF($B$5:B394,B394)&gt;1,"",B394&amp;"-I"),B394)</f>
        <v/>
      </c>
      <c r="B394" s="29">
        <f t="shared" si="6"/>
        <v>884</v>
      </c>
      <c r="C394" s="36" t="s">
        <v>410</v>
      </c>
      <c r="D394" s="53">
        <v>554</v>
      </c>
      <c r="E394" s="53" t="s">
        <v>833</v>
      </c>
      <c r="F394" s="53" t="s">
        <v>12</v>
      </c>
      <c r="G394" s="54">
        <v>42375</v>
      </c>
      <c r="H394" s="53">
        <v>1043</v>
      </c>
      <c r="I394" s="53">
        <v>884</v>
      </c>
      <c r="J394" s="39" t="s">
        <v>33</v>
      </c>
      <c r="K394" s="39" t="s">
        <v>851</v>
      </c>
      <c r="L394" s="39"/>
      <c r="M394" s="37">
        <v>42710</v>
      </c>
      <c r="N394" s="39">
        <v>4.95</v>
      </c>
      <c r="O394" s="40">
        <v>842</v>
      </c>
    </row>
    <row r="395" spans="1:15" x14ac:dyDescent="0.55000000000000004">
      <c r="A395" s="24" t="str">
        <f>IF(COUNTIF(B395:$B$5014,B395)&gt;1,IF(COUNTIF($B$5:B395,B395)&gt;1,"",B395&amp;"-I"),B395)</f>
        <v>992-I</v>
      </c>
      <c r="B395" s="29">
        <f t="shared" si="6"/>
        <v>992</v>
      </c>
      <c r="C395" s="36" t="s">
        <v>411</v>
      </c>
      <c r="D395" s="53">
        <v>555</v>
      </c>
      <c r="E395" s="53" t="s">
        <v>833</v>
      </c>
      <c r="F395" s="53" t="s">
        <v>11</v>
      </c>
      <c r="G395" s="54">
        <v>42380</v>
      </c>
      <c r="H395" s="53">
        <v>1055</v>
      </c>
      <c r="I395" s="53">
        <v>992</v>
      </c>
      <c r="J395" s="39" t="s">
        <v>33</v>
      </c>
      <c r="K395" s="39" t="s">
        <v>837</v>
      </c>
      <c r="L395" s="39"/>
      <c r="M395" s="37">
        <v>42612</v>
      </c>
      <c r="N395" s="38">
        <v>5</v>
      </c>
      <c r="O395" s="40">
        <v>900</v>
      </c>
    </row>
    <row r="396" spans="1:15" x14ac:dyDescent="0.55000000000000004">
      <c r="A396" s="24" t="str">
        <f>IF(COUNTIF(B396:$B$5014,B396)&gt;1,IF(COUNTIF($B$5:B396,B396)&gt;1,"",B396&amp;"-I"),B396)</f>
        <v/>
      </c>
      <c r="B396" s="29">
        <f t="shared" si="6"/>
        <v>898</v>
      </c>
      <c r="C396" s="36" t="s">
        <v>412</v>
      </c>
      <c r="D396" s="53">
        <v>556</v>
      </c>
      <c r="E396" s="53" t="s">
        <v>833</v>
      </c>
      <c r="F396" s="53" t="s">
        <v>11</v>
      </c>
      <c r="G396" s="54">
        <v>42382</v>
      </c>
      <c r="H396" s="53">
        <v>1055</v>
      </c>
      <c r="I396" s="53">
        <v>898</v>
      </c>
      <c r="J396" s="39" t="s">
        <v>33</v>
      </c>
      <c r="K396" s="39" t="s">
        <v>837</v>
      </c>
      <c r="L396" s="39"/>
      <c r="M396" s="37">
        <v>42612</v>
      </c>
      <c r="N396" s="38">
        <v>5</v>
      </c>
      <c r="O396" s="40">
        <v>900</v>
      </c>
    </row>
    <row r="397" spans="1:15" x14ac:dyDescent="0.55000000000000004">
      <c r="A397" s="24" t="str">
        <f>IF(COUNTIF(B397:$B$5014,B397)&gt;1,IF(COUNTIF($B$5:B397,B397)&gt;1,"",B397&amp;"-I"),B397)</f>
        <v>989-I</v>
      </c>
      <c r="B397" s="29">
        <f t="shared" si="6"/>
        <v>989</v>
      </c>
      <c r="C397" s="36" t="s">
        <v>413</v>
      </c>
      <c r="D397" s="53">
        <v>558</v>
      </c>
      <c r="E397" s="53" t="s">
        <v>834</v>
      </c>
      <c r="F397" s="53" t="s">
        <v>12</v>
      </c>
      <c r="G397" s="54">
        <v>42401</v>
      </c>
      <c r="H397" s="53">
        <v>1055</v>
      </c>
      <c r="I397" s="53">
        <v>989</v>
      </c>
      <c r="J397" s="39" t="s">
        <v>33</v>
      </c>
      <c r="K397" s="39" t="s">
        <v>851</v>
      </c>
      <c r="L397" s="39"/>
      <c r="M397" s="37">
        <v>42710</v>
      </c>
      <c r="N397" s="39">
        <v>4.95</v>
      </c>
      <c r="O397" s="40">
        <v>842</v>
      </c>
    </row>
    <row r="398" spans="1:15" x14ac:dyDescent="0.55000000000000004">
      <c r="A398" s="24" t="str">
        <f>IF(COUNTIF(B398:$B$5014,B398)&gt;1,IF(COUNTIF($B$5:B398,B398)&gt;1,"",B398&amp;"-I"),B398)</f>
        <v/>
      </c>
      <c r="B398" s="29">
        <f t="shared" si="6"/>
        <v>893</v>
      </c>
      <c r="C398" s="36" t="s">
        <v>414</v>
      </c>
      <c r="D398" s="53">
        <v>559</v>
      </c>
      <c r="E398" s="53" t="s">
        <v>833</v>
      </c>
      <c r="F398" s="53" t="s">
        <v>12</v>
      </c>
      <c r="G398" s="54">
        <v>42403</v>
      </c>
      <c r="H398" s="53">
        <v>1043</v>
      </c>
      <c r="I398" s="53">
        <v>893</v>
      </c>
      <c r="J398" s="39" t="s">
        <v>33</v>
      </c>
      <c r="K398" s="39" t="s">
        <v>851</v>
      </c>
      <c r="L398" s="39"/>
      <c r="M398" s="37">
        <v>42710</v>
      </c>
      <c r="N398" s="39">
        <v>4.95</v>
      </c>
      <c r="O398" s="40">
        <v>842</v>
      </c>
    </row>
    <row r="399" spans="1:15" x14ac:dyDescent="0.55000000000000004">
      <c r="A399" s="24" t="str">
        <f>IF(COUNTIF(B399:$B$5014,B399)&gt;1,IF(COUNTIF($B$5:B399,B399)&gt;1,"",B399&amp;"-I"),B399)</f>
        <v/>
      </c>
      <c r="B399" s="29">
        <f t="shared" si="6"/>
        <v>936</v>
      </c>
      <c r="C399" s="36" t="s">
        <v>415</v>
      </c>
      <c r="D399" s="53">
        <v>560</v>
      </c>
      <c r="E399" s="53" t="s">
        <v>833</v>
      </c>
      <c r="F399" s="53" t="s">
        <v>12</v>
      </c>
      <c r="G399" s="54">
        <v>42403</v>
      </c>
      <c r="H399" s="53" t="s">
        <v>26</v>
      </c>
      <c r="I399" s="53">
        <v>936</v>
      </c>
      <c r="J399" s="39" t="s">
        <v>33</v>
      </c>
      <c r="K399" s="39" t="s">
        <v>851</v>
      </c>
      <c r="L399" s="39"/>
      <c r="M399" s="37">
        <v>42710</v>
      </c>
      <c r="N399" s="39">
        <v>4.95</v>
      </c>
      <c r="O399" s="40">
        <v>842</v>
      </c>
    </row>
    <row r="400" spans="1:15" x14ac:dyDescent="0.55000000000000004">
      <c r="A400" s="24" t="str">
        <f>IF(COUNTIF(B400:$B$5014,B400)&gt;1,IF(COUNTIF($B$5:B400,B400)&gt;1,"",B400&amp;"-I"),B400)</f>
        <v/>
      </c>
      <c r="B400" s="29">
        <f t="shared" si="6"/>
        <v>964</v>
      </c>
      <c r="C400" s="36" t="s">
        <v>416</v>
      </c>
      <c r="D400" s="53">
        <v>561</v>
      </c>
      <c r="E400" s="53" t="s">
        <v>833</v>
      </c>
      <c r="F400" s="53" t="s">
        <v>11</v>
      </c>
      <c r="G400" s="54">
        <v>42408</v>
      </c>
      <c r="H400" s="53">
        <v>1043</v>
      </c>
      <c r="I400" s="53">
        <v>964</v>
      </c>
      <c r="J400" s="39" t="s">
        <v>33</v>
      </c>
      <c r="K400" s="39" t="s">
        <v>837</v>
      </c>
      <c r="L400" s="39"/>
      <c r="M400" s="37">
        <v>42612</v>
      </c>
      <c r="N400" s="38">
        <v>5</v>
      </c>
      <c r="O400" s="40">
        <v>900</v>
      </c>
    </row>
    <row r="401" spans="1:15" x14ac:dyDescent="0.55000000000000004">
      <c r="A401" s="24" t="str">
        <f>IF(COUNTIF(B401:$B$5014,B401)&gt;1,IF(COUNTIF($B$5:B401,B401)&gt;1,"",B401&amp;"-I"),B401)</f>
        <v/>
      </c>
      <c r="B401" s="29">
        <f t="shared" si="6"/>
        <v>958</v>
      </c>
      <c r="C401" s="36" t="s">
        <v>417</v>
      </c>
      <c r="D401" s="53">
        <v>562</v>
      </c>
      <c r="E401" s="53" t="s">
        <v>833</v>
      </c>
      <c r="F401" s="53" t="s">
        <v>11</v>
      </c>
      <c r="G401" s="54">
        <v>42409</v>
      </c>
      <c r="H401" s="53">
        <v>1043</v>
      </c>
      <c r="I401" s="53">
        <v>958</v>
      </c>
      <c r="J401" s="39" t="s">
        <v>33</v>
      </c>
      <c r="K401" s="39" t="s">
        <v>837</v>
      </c>
      <c r="L401" s="39"/>
      <c r="M401" s="37">
        <v>42612</v>
      </c>
      <c r="N401" s="38">
        <v>5</v>
      </c>
      <c r="O401" s="40">
        <v>900</v>
      </c>
    </row>
    <row r="402" spans="1:15" x14ac:dyDescent="0.55000000000000004">
      <c r="A402" s="24" t="str">
        <f>IF(COUNTIF(B402:$B$5014,B402)&gt;1,IF(COUNTIF($B$5:B402,B402)&gt;1,"",B402&amp;"-I"),B402)</f>
        <v/>
      </c>
      <c r="B402" s="29">
        <f t="shared" si="6"/>
        <v>865</v>
      </c>
      <c r="C402" s="36" t="s">
        <v>418</v>
      </c>
      <c r="D402" s="53">
        <v>563</v>
      </c>
      <c r="E402" s="53" t="s">
        <v>833</v>
      </c>
      <c r="F402" s="53" t="s">
        <v>11</v>
      </c>
      <c r="G402" s="54">
        <v>42413</v>
      </c>
      <c r="H402" s="53">
        <v>1043</v>
      </c>
      <c r="I402" s="53">
        <v>865</v>
      </c>
      <c r="J402" s="39" t="s">
        <v>33</v>
      </c>
      <c r="K402" s="39" t="s">
        <v>837</v>
      </c>
      <c r="L402" s="39"/>
      <c r="M402" s="37">
        <v>42612</v>
      </c>
      <c r="N402" s="38">
        <v>5</v>
      </c>
      <c r="O402" s="40">
        <v>900</v>
      </c>
    </row>
    <row r="403" spans="1:15" x14ac:dyDescent="0.55000000000000004">
      <c r="A403" s="24" t="str">
        <f>IF(COUNTIF(B403:$B$5014,B403)&gt;1,IF(COUNTIF($B$5:B403,B403)&gt;1,"",B403&amp;"-I"),B403)</f>
        <v/>
      </c>
      <c r="B403" s="29">
        <f t="shared" si="6"/>
        <v>889</v>
      </c>
      <c r="C403" s="36" t="s">
        <v>419</v>
      </c>
      <c r="D403" s="53">
        <v>564</v>
      </c>
      <c r="E403" s="53" t="s">
        <v>833</v>
      </c>
      <c r="F403" s="53" t="s">
        <v>11</v>
      </c>
      <c r="G403" s="54">
        <v>42415</v>
      </c>
      <c r="H403" s="53" t="s">
        <v>26</v>
      </c>
      <c r="I403" s="53">
        <v>889</v>
      </c>
      <c r="J403" s="39" t="s">
        <v>33</v>
      </c>
      <c r="K403" s="39" t="s">
        <v>837</v>
      </c>
      <c r="L403" s="39"/>
      <c r="M403" s="37">
        <v>42612</v>
      </c>
      <c r="N403" s="38">
        <v>5</v>
      </c>
      <c r="O403" s="40">
        <v>900</v>
      </c>
    </row>
    <row r="404" spans="1:15" x14ac:dyDescent="0.55000000000000004">
      <c r="A404" s="24" t="str">
        <f>IF(COUNTIF(B404:$B$5014,B404)&gt;1,IF(COUNTIF($B$5:B404,B404)&gt;1,"",B404&amp;"-I"),B404)</f>
        <v/>
      </c>
      <c r="B404" s="29">
        <f t="shared" si="6"/>
        <v>871</v>
      </c>
      <c r="C404" s="36" t="s">
        <v>420</v>
      </c>
      <c r="D404" s="53">
        <v>565</v>
      </c>
      <c r="E404" s="53" t="s">
        <v>833</v>
      </c>
      <c r="F404" s="53" t="s">
        <v>11</v>
      </c>
      <c r="G404" s="54">
        <v>42419</v>
      </c>
      <c r="H404" s="53" t="s">
        <v>26</v>
      </c>
      <c r="I404" s="53">
        <v>871</v>
      </c>
      <c r="J404" s="39" t="s">
        <v>33</v>
      </c>
      <c r="K404" s="39" t="s">
        <v>837</v>
      </c>
      <c r="L404" s="39"/>
      <c r="M404" s="37">
        <v>42612</v>
      </c>
      <c r="N404" s="38">
        <v>5</v>
      </c>
      <c r="O404" s="40">
        <v>900</v>
      </c>
    </row>
    <row r="405" spans="1:15" x14ac:dyDescent="0.55000000000000004">
      <c r="A405" s="24" t="str">
        <f>IF(COUNTIF(B405:$B$5014,B405)&gt;1,IF(COUNTIF($B$5:B405,B405)&gt;1,"",B405&amp;"-I"),B405)</f>
        <v/>
      </c>
      <c r="B405" s="29">
        <f t="shared" si="6"/>
        <v>963</v>
      </c>
      <c r="C405" s="36" t="s">
        <v>421</v>
      </c>
      <c r="D405" s="53">
        <v>566</v>
      </c>
      <c r="E405" s="53" t="s">
        <v>834</v>
      </c>
      <c r="F405" s="53" t="s">
        <v>11</v>
      </c>
      <c r="G405" s="54">
        <v>42419</v>
      </c>
      <c r="H405" s="53">
        <v>1043</v>
      </c>
      <c r="I405" s="53">
        <v>963</v>
      </c>
      <c r="J405" s="39" t="s">
        <v>33</v>
      </c>
      <c r="K405" s="39" t="s">
        <v>837</v>
      </c>
      <c r="L405" s="39"/>
      <c r="M405" s="37">
        <v>42612</v>
      </c>
      <c r="N405" s="38">
        <v>5</v>
      </c>
      <c r="O405" s="40">
        <v>900</v>
      </c>
    </row>
    <row r="406" spans="1:15" x14ac:dyDescent="0.55000000000000004">
      <c r="A406" s="24" t="str">
        <f>IF(COUNTIF(B406:$B$5014,B406)&gt;1,IF(COUNTIF($B$5:B406,B406)&gt;1,"",B406&amp;"-I"),B406)</f>
        <v/>
      </c>
      <c r="B406" s="29">
        <f t="shared" si="6"/>
        <v>858</v>
      </c>
      <c r="C406" s="36" t="s">
        <v>422</v>
      </c>
      <c r="D406" s="53">
        <v>567</v>
      </c>
      <c r="E406" s="53" t="s">
        <v>833</v>
      </c>
      <c r="F406" s="53" t="s">
        <v>11</v>
      </c>
      <c r="G406" s="54">
        <v>42419</v>
      </c>
      <c r="H406" s="53">
        <v>1043</v>
      </c>
      <c r="I406" s="53">
        <v>858</v>
      </c>
      <c r="J406" s="39" t="s">
        <v>33</v>
      </c>
      <c r="K406" s="39" t="s">
        <v>837</v>
      </c>
      <c r="L406" s="39"/>
      <c r="M406" s="37">
        <v>42612</v>
      </c>
      <c r="N406" s="38">
        <v>5</v>
      </c>
      <c r="O406" s="40">
        <v>900</v>
      </c>
    </row>
    <row r="407" spans="1:15" x14ac:dyDescent="0.55000000000000004">
      <c r="A407" s="24" t="str">
        <f>IF(COUNTIF(B407:$B$5014,B407)&gt;1,IF(COUNTIF($B$5:B407,B407)&gt;1,"",B407&amp;"-I"),B407)</f>
        <v/>
      </c>
      <c r="B407" s="29">
        <f t="shared" si="6"/>
        <v>985</v>
      </c>
      <c r="C407" s="36" t="s">
        <v>423</v>
      </c>
      <c r="D407" s="53">
        <v>568</v>
      </c>
      <c r="E407" s="53" t="s">
        <v>834</v>
      </c>
      <c r="F407" s="53" t="s">
        <v>11</v>
      </c>
      <c r="G407" s="54">
        <v>42431</v>
      </c>
      <c r="H407" s="53" t="s">
        <v>26</v>
      </c>
      <c r="I407" s="53">
        <v>985</v>
      </c>
      <c r="J407" s="39" t="s">
        <v>33</v>
      </c>
      <c r="K407" s="39" t="s">
        <v>837</v>
      </c>
      <c r="L407" s="39"/>
      <c r="M407" s="37">
        <v>42612</v>
      </c>
      <c r="N407" s="38">
        <v>5</v>
      </c>
      <c r="O407" s="40">
        <v>900</v>
      </c>
    </row>
    <row r="408" spans="1:15" x14ac:dyDescent="0.55000000000000004">
      <c r="A408" s="24" t="str">
        <f>IF(COUNTIF(B408:$B$5014,B408)&gt;1,IF(COUNTIF($B$5:B408,B408)&gt;1,"",B408&amp;"-I"),B408)</f>
        <v/>
      </c>
      <c r="B408" s="29">
        <f t="shared" si="6"/>
        <v>894</v>
      </c>
      <c r="C408" s="36" t="s">
        <v>424</v>
      </c>
      <c r="D408" s="53">
        <v>569</v>
      </c>
      <c r="E408" s="53" t="s">
        <v>833</v>
      </c>
      <c r="F408" s="53" t="s">
        <v>11</v>
      </c>
      <c r="G408" s="54">
        <v>42519</v>
      </c>
      <c r="H408" s="53" t="s">
        <v>26</v>
      </c>
      <c r="I408" s="53">
        <v>894</v>
      </c>
      <c r="J408" s="39" t="s">
        <v>33</v>
      </c>
      <c r="K408" s="39" t="s">
        <v>837</v>
      </c>
      <c r="L408" s="39"/>
      <c r="M408" s="37">
        <v>42612</v>
      </c>
      <c r="N408" s="38">
        <v>5</v>
      </c>
      <c r="O408" s="40">
        <v>900</v>
      </c>
    </row>
    <row r="409" spans="1:15" x14ac:dyDescent="0.55000000000000004">
      <c r="A409" s="24" t="str">
        <f>IF(COUNTIF(B409:$B$5014,B409)&gt;1,IF(COUNTIF($B$5:B409,B409)&gt;1,"",B409&amp;"-I"),B409)</f>
        <v/>
      </c>
      <c r="B409" s="29">
        <f t="shared" si="6"/>
        <v>931</v>
      </c>
      <c r="C409" s="36" t="s">
        <v>425</v>
      </c>
      <c r="D409" s="53">
        <v>570</v>
      </c>
      <c r="E409" s="53" t="s">
        <v>833</v>
      </c>
      <c r="F409" s="53" t="s">
        <v>12</v>
      </c>
      <c r="G409" s="54">
        <v>42529</v>
      </c>
      <c r="H409" s="53">
        <v>1055</v>
      </c>
      <c r="I409" s="53">
        <v>931</v>
      </c>
      <c r="J409" s="39" t="s">
        <v>33</v>
      </c>
      <c r="K409" s="39" t="s">
        <v>851</v>
      </c>
      <c r="L409" s="39"/>
      <c r="M409" s="37">
        <v>42710</v>
      </c>
      <c r="N409" s="39">
        <v>4.95</v>
      </c>
      <c r="O409" s="40">
        <v>842</v>
      </c>
    </row>
    <row r="410" spans="1:15" x14ac:dyDescent="0.55000000000000004">
      <c r="A410" s="24" t="str">
        <f>IF(COUNTIF(B410:$B$5014,B410)&gt;1,IF(COUNTIF($B$5:B410,B410)&gt;1,"",B410&amp;"-I"),B410)</f>
        <v/>
      </c>
      <c r="B410" s="29">
        <f t="shared" si="6"/>
        <v>972</v>
      </c>
      <c r="C410" s="36" t="s">
        <v>426</v>
      </c>
      <c r="D410" s="53">
        <v>571</v>
      </c>
      <c r="E410" s="53" t="s">
        <v>834</v>
      </c>
      <c r="F410" s="53" t="s">
        <v>12</v>
      </c>
      <c r="G410" s="54">
        <v>42529</v>
      </c>
      <c r="H410" s="53">
        <v>1043</v>
      </c>
      <c r="I410" s="53">
        <v>972</v>
      </c>
      <c r="J410" s="39" t="s">
        <v>33</v>
      </c>
      <c r="K410" s="39" t="s">
        <v>851</v>
      </c>
      <c r="L410" s="39"/>
      <c r="M410" s="37">
        <v>42710</v>
      </c>
      <c r="N410" s="39">
        <v>4.95</v>
      </c>
      <c r="O410" s="40">
        <v>842</v>
      </c>
    </row>
    <row r="411" spans="1:15" x14ac:dyDescent="0.55000000000000004">
      <c r="A411" s="24" t="str">
        <f>IF(COUNTIF(B411:$B$5014,B411)&gt;1,IF(COUNTIF($B$5:B411,B411)&gt;1,"",B411&amp;"-I"),B411)</f>
        <v/>
      </c>
      <c r="B411" s="29">
        <f t="shared" si="6"/>
        <v>872</v>
      </c>
      <c r="C411" s="36" t="s">
        <v>427</v>
      </c>
      <c r="D411" s="53">
        <v>572</v>
      </c>
      <c r="E411" s="53" t="s">
        <v>833</v>
      </c>
      <c r="F411" s="53" t="s">
        <v>11</v>
      </c>
      <c r="G411" s="54">
        <v>42531</v>
      </c>
      <c r="H411" s="53" t="s">
        <v>26</v>
      </c>
      <c r="I411" s="53">
        <v>872</v>
      </c>
      <c r="J411" s="39" t="s">
        <v>33</v>
      </c>
      <c r="K411" s="39" t="s">
        <v>851</v>
      </c>
      <c r="L411" s="39"/>
      <c r="M411" s="37">
        <v>42710</v>
      </c>
      <c r="N411" s="39">
        <v>4.55</v>
      </c>
      <c r="O411" s="40">
        <v>796</v>
      </c>
    </row>
    <row r="412" spans="1:15" x14ac:dyDescent="0.55000000000000004">
      <c r="A412" s="24" t="str">
        <f>IF(COUNTIF(B412:$B$5014,B412)&gt;1,IF(COUNTIF($B$5:B412,B412)&gt;1,"",B412&amp;"-I"),B412)</f>
        <v/>
      </c>
      <c r="B412" s="29">
        <f t="shared" si="6"/>
        <v>930</v>
      </c>
      <c r="C412" s="36" t="s">
        <v>428</v>
      </c>
      <c r="D412" s="53">
        <v>573</v>
      </c>
      <c r="E412" s="53" t="s">
        <v>833</v>
      </c>
      <c r="F412" s="53" t="s">
        <v>11</v>
      </c>
      <c r="G412" s="54">
        <v>42532</v>
      </c>
      <c r="H412" s="53" t="s">
        <v>26</v>
      </c>
      <c r="I412" s="53">
        <v>930</v>
      </c>
      <c r="J412" s="39" t="s">
        <v>33</v>
      </c>
      <c r="K412" s="39" t="s">
        <v>851</v>
      </c>
      <c r="L412" s="39"/>
      <c r="M412" s="37">
        <v>42710</v>
      </c>
      <c r="N412" s="39">
        <v>4.55</v>
      </c>
      <c r="O412" s="40">
        <v>796</v>
      </c>
    </row>
    <row r="413" spans="1:15" x14ac:dyDescent="0.55000000000000004">
      <c r="A413" s="24" t="str">
        <f>IF(COUNTIF(B413:$B$5014,B413)&gt;1,IF(COUNTIF($B$5:B413,B413)&gt;1,"",B413&amp;"-I"),B413)</f>
        <v/>
      </c>
      <c r="B413" s="29">
        <f t="shared" si="6"/>
        <v>862</v>
      </c>
      <c r="C413" s="36" t="s">
        <v>429</v>
      </c>
      <c r="D413" s="53">
        <v>574</v>
      </c>
      <c r="E413" s="53" t="s">
        <v>833</v>
      </c>
      <c r="F413" s="53" t="s">
        <v>11</v>
      </c>
      <c r="G413" s="54">
        <v>42533</v>
      </c>
      <c r="H413" s="53" t="s">
        <v>26</v>
      </c>
      <c r="I413" s="53">
        <v>862</v>
      </c>
      <c r="J413" s="39" t="s">
        <v>33</v>
      </c>
      <c r="K413" s="39" t="s">
        <v>851</v>
      </c>
      <c r="L413" s="39"/>
      <c r="M413" s="37">
        <v>42710</v>
      </c>
      <c r="N413" s="39">
        <v>4.55</v>
      </c>
      <c r="O413" s="40">
        <v>796</v>
      </c>
    </row>
    <row r="414" spans="1:15" x14ac:dyDescent="0.55000000000000004">
      <c r="A414" s="24" t="str">
        <f>IF(COUNTIF(B414:$B$5014,B414)&gt;1,IF(COUNTIF($B$5:B414,B414)&gt;1,"",B414&amp;"-I"),B414)</f>
        <v/>
      </c>
      <c r="B414" s="29">
        <f t="shared" si="6"/>
        <v>977</v>
      </c>
      <c r="C414" s="36" t="s">
        <v>430</v>
      </c>
      <c r="D414" s="53">
        <v>575</v>
      </c>
      <c r="E414" s="53" t="s">
        <v>833</v>
      </c>
      <c r="F414" s="53" t="s">
        <v>11</v>
      </c>
      <c r="G414" s="54">
        <v>42534</v>
      </c>
      <c r="H414" s="53" t="s">
        <v>26</v>
      </c>
      <c r="I414" s="53">
        <v>977</v>
      </c>
      <c r="J414" s="39" t="s">
        <v>33</v>
      </c>
      <c r="K414" s="39" t="s">
        <v>851</v>
      </c>
      <c r="L414" s="39"/>
      <c r="M414" s="37">
        <v>42710</v>
      </c>
      <c r="N414" s="39">
        <v>4.55</v>
      </c>
      <c r="O414" s="40">
        <v>796</v>
      </c>
    </row>
    <row r="415" spans="1:15" x14ac:dyDescent="0.55000000000000004">
      <c r="A415" s="24" t="str">
        <f>IF(COUNTIF(B415:$B$5014,B415)&gt;1,IF(COUNTIF($B$5:B415,B415)&gt;1,"",B415&amp;"-I"),B415)</f>
        <v/>
      </c>
      <c r="B415" s="29">
        <f t="shared" si="6"/>
        <v>980</v>
      </c>
      <c r="C415" s="36" t="s">
        <v>431</v>
      </c>
      <c r="D415" s="53">
        <v>576</v>
      </c>
      <c r="E415" s="53" t="s">
        <v>833</v>
      </c>
      <c r="F415" s="53" t="s">
        <v>11</v>
      </c>
      <c r="G415" s="54">
        <v>42536</v>
      </c>
      <c r="H415" s="53" t="s">
        <v>26</v>
      </c>
      <c r="I415" s="53">
        <v>980</v>
      </c>
      <c r="J415" s="39" t="s">
        <v>33</v>
      </c>
      <c r="K415" s="39" t="s">
        <v>851</v>
      </c>
      <c r="L415" s="39"/>
      <c r="M415" s="37">
        <v>42710</v>
      </c>
      <c r="N415" s="39">
        <v>4.55</v>
      </c>
      <c r="O415" s="40">
        <v>796</v>
      </c>
    </row>
    <row r="416" spans="1:15" x14ac:dyDescent="0.55000000000000004">
      <c r="A416" s="24" t="str">
        <f>IF(COUNTIF(B416:$B$5014,B416)&gt;1,IF(COUNTIF($B$5:B416,B416)&gt;1,"",B416&amp;"-I"),B416)</f>
        <v/>
      </c>
      <c r="B416" s="29">
        <f t="shared" si="6"/>
        <v>881</v>
      </c>
      <c r="C416" s="36" t="s">
        <v>432</v>
      </c>
      <c r="D416" s="53">
        <v>577</v>
      </c>
      <c r="E416" s="53" t="s">
        <v>834</v>
      </c>
      <c r="F416" s="53" t="s">
        <v>12</v>
      </c>
      <c r="G416" s="54">
        <v>42537</v>
      </c>
      <c r="H416" s="53" t="s">
        <v>26</v>
      </c>
      <c r="I416" s="53">
        <v>881</v>
      </c>
      <c r="J416" s="39" t="s">
        <v>33</v>
      </c>
      <c r="K416" s="39" t="s">
        <v>1087</v>
      </c>
      <c r="L416" s="39"/>
      <c r="M416" s="37">
        <v>42975</v>
      </c>
      <c r="N416" s="39">
        <v>5.56</v>
      </c>
      <c r="O416" s="40">
        <v>782</v>
      </c>
    </row>
    <row r="417" spans="1:16" x14ac:dyDescent="0.55000000000000004">
      <c r="A417" s="24" t="str">
        <f>IF(COUNTIF(B417:$B$5014,B417)&gt;1,IF(COUNTIF($B$5:B417,B417)&gt;1,"",B417&amp;"-I"),B417)</f>
        <v/>
      </c>
      <c r="B417" s="29">
        <f t="shared" si="6"/>
        <v>885</v>
      </c>
      <c r="C417" s="36" t="s">
        <v>433</v>
      </c>
      <c r="D417" s="53">
        <v>578</v>
      </c>
      <c r="E417" s="53" t="s">
        <v>833</v>
      </c>
      <c r="F417" s="53" t="s">
        <v>11</v>
      </c>
      <c r="G417" s="54">
        <v>42539</v>
      </c>
      <c r="H417" s="53" t="s">
        <v>26</v>
      </c>
      <c r="I417" s="53">
        <v>885</v>
      </c>
      <c r="J417" s="39" t="s">
        <v>33</v>
      </c>
      <c r="K417" s="39" t="s">
        <v>851</v>
      </c>
      <c r="L417" s="39"/>
      <c r="M417" s="37">
        <v>42710</v>
      </c>
      <c r="N417" s="39">
        <v>4.55</v>
      </c>
      <c r="O417" s="40">
        <v>796</v>
      </c>
    </row>
    <row r="418" spans="1:16" x14ac:dyDescent="0.55000000000000004">
      <c r="A418" s="24" t="str">
        <f>IF(COUNTIF(B418:$B$5014,B418)&gt;1,IF(COUNTIF($B$5:B418,B418)&gt;1,"",B418&amp;"-I"),B418)</f>
        <v/>
      </c>
      <c r="B418" s="29">
        <f t="shared" si="6"/>
        <v>896</v>
      </c>
      <c r="C418" s="36" t="s">
        <v>434</v>
      </c>
      <c r="D418" s="53">
        <v>579</v>
      </c>
      <c r="E418" s="53" t="s">
        <v>834</v>
      </c>
      <c r="F418" s="53" t="s">
        <v>12</v>
      </c>
      <c r="G418" s="54">
        <v>42546</v>
      </c>
      <c r="H418" s="53" t="s">
        <v>26</v>
      </c>
      <c r="I418" s="53">
        <v>896</v>
      </c>
      <c r="J418" s="39" t="s">
        <v>33</v>
      </c>
      <c r="K418" s="39" t="s">
        <v>1087</v>
      </c>
      <c r="L418" s="39"/>
      <c r="M418" s="37">
        <v>42975</v>
      </c>
      <c r="N418" s="39">
        <v>5.56</v>
      </c>
      <c r="O418" s="40">
        <v>782</v>
      </c>
    </row>
    <row r="419" spans="1:16" x14ac:dyDescent="0.55000000000000004">
      <c r="A419" s="24" t="str">
        <f>IF(COUNTIF(B419:$B$5014,B419)&gt;1,IF(COUNTIF($B$5:B419,B419)&gt;1,"",B419&amp;"-I"),B419)</f>
        <v/>
      </c>
      <c r="B419" s="29">
        <f t="shared" si="6"/>
        <v>974</v>
      </c>
      <c r="C419" s="36" t="s">
        <v>435</v>
      </c>
      <c r="D419" s="53">
        <v>580</v>
      </c>
      <c r="E419" s="53" t="s">
        <v>833</v>
      </c>
      <c r="F419" s="53" t="s">
        <v>11</v>
      </c>
      <c r="G419" s="54">
        <v>42551</v>
      </c>
      <c r="H419" s="53" t="s">
        <v>26</v>
      </c>
      <c r="I419" s="23">
        <v>974</v>
      </c>
      <c r="J419" s="39" t="s">
        <v>33</v>
      </c>
      <c r="K419" s="39" t="s">
        <v>851</v>
      </c>
      <c r="L419" s="39"/>
      <c r="M419" s="37">
        <v>42710</v>
      </c>
      <c r="N419" s="39">
        <v>4.55</v>
      </c>
      <c r="O419" s="40">
        <v>796</v>
      </c>
    </row>
    <row r="420" spans="1:16" x14ac:dyDescent="0.55000000000000004">
      <c r="A420" s="24" t="str">
        <f>IF(COUNTIF(B420:$B$5014,B420)&gt;1,IF(COUNTIF($B$5:B420,B420)&gt;1,"",B420&amp;"-I"),B420)</f>
        <v/>
      </c>
      <c r="B420" s="29">
        <f t="shared" si="6"/>
        <v>984</v>
      </c>
      <c r="C420" s="36" t="s">
        <v>436</v>
      </c>
      <c r="D420" s="53">
        <v>581</v>
      </c>
      <c r="E420" s="53" t="s">
        <v>834</v>
      </c>
      <c r="F420" s="53" t="s">
        <v>11</v>
      </c>
      <c r="G420" s="54">
        <v>42555</v>
      </c>
      <c r="H420" s="53" t="s">
        <v>26</v>
      </c>
      <c r="I420" s="53">
        <v>984</v>
      </c>
      <c r="J420" s="39" t="s">
        <v>33</v>
      </c>
      <c r="K420" s="39" t="s">
        <v>851</v>
      </c>
      <c r="L420" s="39"/>
      <c r="M420" s="37">
        <v>42710</v>
      </c>
      <c r="N420" s="39">
        <v>4.55</v>
      </c>
      <c r="O420" s="40">
        <v>796</v>
      </c>
    </row>
    <row r="421" spans="1:16" x14ac:dyDescent="0.55000000000000004">
      <c r="A421" s="24" t="str">
        <f>IF(COUNTIF(B421:$B$5014,B421)&gt;1,IF(COUNTIF($B$5:B421,B421)&gt;1,"",B421&amp;"-I"),B421)</f>
        <v>978-I</v>
      </c>
      <c r="B421" s="29">
        <f t="shared" si="6"/>
        <v>978</v>
      </c>
      <c r="C421" s="36" t="s">
        <v>437</v>
      </c>
      <c r="D421" s="53">
        <v>582</v>
      </c>
      <c r="E421" s="53" t="s">
        <v>833</v>
      </c>
      <c r="F421" s="53" t="s">
        <v>11</v>
      </c>
      <c r="G421" s="54">
        <v>42564</v>
      </c>
      <c r="H421" s="53" t="s">
        <v>26</v>
      </c>
      <c r="I421" s="53">
        <v>978</v>
      </c>
      <c r="J421" s="39" t="s">
        <v>33</v>
      </c>
      <c r="K421" s="39" t="s">
        <v>851</v>
      </c>
      <c r="L421" s="39"/>
      <c r="M421" s="37">
        <v>42710</v>
      </c>
      <c r="N421" s="39">
        <v>4.55</v>
      </c>
      <c r="O421" s="40">
        <v>796</v>
      </c>
    </row>
    <row r="422" spans="1:16" x14ac:dyDescent="0.55000000000000004">
      <c r="A422" s="24" t="str">
        <f>IF(COUNTIF(B422:$B$5014,B422)&gt;1,IF(COUNTIF($B$5:B422,B422)&gt;1,"",B422&amp;"-I"),B422)</f>
        <v/>
      </c>
      <c r="B422" s="29">
        <f t="shared" si="6"/>
        <v>873</v>
      </c>
      <c r="C422" s="36" t="s">
        <v>438</v>
      </c>
      <c r="D422" s="53">
        <v>583</v>
      </c>
      <c r="E422" s="53" t="s">
        <v>834</v>
      </c>
      <c r="F422" s="53" t="s">
        <v>11</v>
      </c>
      <c r="G422" s="54">
        <v>42567</v>
      </c>
      <c r="H422" s="53">
        <v>1043</v>
      </c>
      <c r="I422" s="53">
        <v>873</v>
      </c>
      <c r="J422" s="39" t="s">
        <v>33</v>
      </c>
      <c r="K422" s="39" t="s">
        <v>837</v>
      </c>
      <c r="L422" s="39"/>
      <c r="M422" s="37">
        <v>42951</v>
      </c>
      <c r="N422" s="39">
        <v>6.83</v>
      </c>
      <c r="O422" s="40">
        <v>1133</v>
      </c>
    </row>
    <row r="423" spans="1:16" x14ac:dyDescent="0.55000000000000004">
      <c r="A423" s="24" t="str">
        <f>IF(COUNTIF(B423:$B$5014,B423)&gt;1,IF(COUNTIF($B$5:B423,B423)&gt;1,"",B423&amp;"-I"),B423)</f>
        <v/>
      </c>
      <c r="B423" s="29">
        <f t="shared" si="6"/>
        <v>986</v>
      </c>
      <c r="C423" s="36" t="s">
        <v>439</v>
      </c>
      <c r="D423" s="53">
        <v>584</v>
      </c>
      <c r="E423" s="53" t="s">
        <v>834</v>
      </c>
      <c r="F423" s="53" t="s">
        <v>11</v>
      </c>
      <c r="G423" s="54">
        <v>42571</v>
      </c>
      <c r="H423" s="53" t="s">
        <v>26</v>
      </c>
      <c r="I423" s="53">
        <v>986</v>
      </c>
      <c r="J423" s="39" t="s">
        <v>33</v>
      </c>
      <c r="K423" s="39" t="s">
        <v>837</v>
      </c>
      <c r="L423" s="39"/>
      <c r="M423" s="37">
        <v>42951</v>
      </c>
      <c r="N423" s="39">
        <v>6.83</v>
      </c>
      <c r="O423" s="40">
        <v>1133</v>
      </c>
    </row>
    <row r="424" spans="1:16" x14ac:dyDescent="0.55000000000000004">
      <c r="A424" s="24" t="str">
        <f>IF(COUNTIF(B424:$B$5014,B424)&gt;1,IF(COUNTIF($B$5:B424,B424)&gt;1,"",B424&amp;"-I"),B424)</f>
        <v/>
      </c>
      <c r="B424" s="29">
        <f t="shared" si="6"/>
        <v>890</v>
      </c>
      <c r="C424" s="36" t="s">
        <v>440</v>
      </c>
      <c r="D424" s="53">
        <v>585</v>
      </c>
      <c r="E424" s="53" t="s">
        <v>834</v>
      </c>
      <c r="F424" s="53" t="s">
        <v>12</v>
      </c>
      <c r="G424" s="54">
        <v>42573</v>
      </c>
      <c r="H424" s="53">
        <v>1043</v>
      </c>
      <c r="I424" s="53">
        <v>890</v>
      </c>
      <c r="J424" s="39" t="s">
        <v>33</v>
      </c>
      <c r="K424" s="39" t="s">
        <v>1087</v>
      </c>
      <c r="L424" s="39"/>
      <c r="M424" s="37">
        <v>42975</v>
      </c>
      <c r="N424" s="39">
        <v>5.56</v>
      </c>
      <c r="O424" s="40">
        <v>782</v>
      </c>
    </row>
    <row r="425" spans="1:16" x14ac:dyDescent="0.55000000000000004">
      <c r="A425" s="24" t="str">
        <f>IF(COUNTIF(B425:$B$5014,B425)&gt;1,IF(COUNTIF($B$5:B425,B425)&gt;1,"",B425&amp;"-I"),B425)</f>
        <v/>
      </c>
      <c r="B425" s="29">
        <f t="shared" si="6"/>
        <v>947</v>
      </c>
      <c r="C425" s="36" t="s">
        <v>441</v>
      </c>
      <c r="D425" s="53">
        <v>586</v>
      </c>
      <c r="E425" s="53" t="s">
        <v>833</v>
      </c>
      <c r="F425" s="53" t="s">
        <v>12</v>
      </c>
      <c r="G425" s="54">
        <v>42574</v>
      </c>
      <c r="H425" s="53">
        <v>1043</v>
      </c>
      <c r="I425" s="53">
        <v>947</v>
      </c>
      <c r="J425" s="39" t="s">
        <v>33</v>
      </c>
      <c r="K425" s="39" t="s">
        <v>1087</v>
      </c>
      <c r="L425" s="39"/>
      <c r="M425" s="37">
        <v>42975</v>
      </c>
      <c r="N425" s="39">
        <v>5.56</v>
      </c>
      <c r="O425" s="40">
        <v>782</v>
      </c>
    </row>
    <row r="426" spans="1:16" x14ac:dyDescent="0.55000000000000004">
      <c r="A426" s="24" t="str">
        <f>IF(COUNTIF(B426:$B$5014,B426)&gt;1,IF(COUNTIF($B$5:B426,B426)&gt;1,"",B426&amp;"-I"),B426)</f>
        <v/>
      </c>
      <c r="B426" s="29">
        <f t="shared" si="6"/>
        <v>966</v>
      </c>
      <c r="C426" s="36" t="s">
        <v>442</v>
      </c>
      <c r="D426" s="53">
        <v>587</v>
      </c>
      <c r="E426" s="53" t="s">
        <v>833</v>
      </c>
      <c r="F426" s="53" t="s">
        <v>12</v>
      </c>
      <c r="G426" s="34">
        <v>42580</v>
      </c>
      <c r="H426" s="53">
        <v>1043</v>
      </c>
      <c r="I426" s="53">
        <v>966</v>
      </c>
      <c r="J426" s="39" t="s">
        <v>33</v>
      </c>
      <c r="K426" s="39" t="s">
        <v>1087</v>
      </c>
      <c r="L426" s="39"/>
      <c r="M426" s="37">
        <v>42975</v>
      </c>
      <c r="N426" s="39">
        <v>5.56</v>
      </c>
      <c r="O426" s="40">
        <v>782</v>
      </c>
    </row>
    <row r="427" spans="1:16" x14ac:dyDescent="0.55000000000000004">
      <c r="A427" s="24" t="str">
        <f>IF(COUNTIF(B427:$B$5014,B427)&gt;1,IF(COUNTIF($B$5:B427,B427)&gt;1,"",B427&amp;"-I"),B427)</f>
        <v/>
      </c>
      <c r="B427" s="29">
        <f t="shared" si="6"/>
        <v>926</v>
      </c>
      <c r="C427" s="36" t="s">
        <v>443</v>
      </c>
      <c r="D427" s="53">
        <v>588</v>
      </c>
      <c r="E427" s="53" t="s">
        <v>833</v>
      </c>
      <c r="F427" s="53" t="s">
        <v>11</v>
      </c>
      <c r="G427" s="54">
        <v>42583</v>
      </c>
      <c r="H427" s="53">
        <v>1055</v>
      </c>
      <c r="I427" s="53">
        <v>926</v>
      </c>
      <c r="J427" s="39" t="s">
        <v>33</v>
      </c>
      <c r="K427" s="39" t="s">
        <v>837</v>
      </c>
      <c r="L427" s="39"/>
      <c r="M427" s="37">
        <v>42951</v>
      </c>
      <c r="N427" s="39">
        <v>6.83</v>
      </c>
      <c r="O427" s="40">
        <v>1133</v>
      </c>
    </row>
    <row r="428" spans="1:16" x14ac:dyDescent="0.55000000000000004">
      <c r="A428" s="24" t="str">
        <f>IF(COUNTIF(B428:$B$5014,B428)&gt;1,IF(COUNTIF($B$5:B428,B428)&gt;1,"",B428&amp;"-I"),B428)</f>
        <v/>
      </c>
      <c r="B428" s="29">
        <f t="shared" si="6"/>
        <v>897</v>
      </c>
      <c r="C428" s="36" t="s">
        <v>444</v>
      </c>
      <c r="D428" s="53">
        <v>589</v>
      </c>
      <c r="E428" s="53" t="s">
        <v>833</v>
      </c>
      <c r="F428" s="53" t="s">
        <v>11</v>
      </c>
      <c r="G428" s="54">
        <v>42588</v>
      </c>
      <c r="H428" s="53">
        <v>1043</v>
      </c>
      <c r="I428" s="53">
        <v>897</v>
      </c>
      <c r="J428" s="39" t="s">
        <v>33</v>
      </c>
      <c r="K428" s="39" t="s">
        <v>837</v>
      </c>
      <c r="L428" s="39"/>
      <c r="M428" s="37">
        <v>42951</v>
      </c>
      <c r="N428" s="39">
        <v>6.83</v>
      </c>
      <c r="O428" s="40">
        <v>1133</v>
      </c>
    </row>
    <row r="429" spans="1:16" x14ac:dyDescent="0.55000000000000004">
      <c r="A429" s="24" t="str">
        <f>IF(COUNTIF(B429:$B$5014,B429)&gt;1,IF(COUNTIF($B$5:B429,B429)&gt;1,"",B429&amp;"-I"),B429)</f>
        <v/>
      </c>
      <c r="B429" s="29">
        <f t="shared" si="6"/>
        <v>956</v>
      </c>
      <c r="C429" s="36" t="s">
        <v>445</v>
      </c>
      <c r="D429" s="53">
        <v>590</v>
      </c>
      <c r="E429" s="53" t="s">
        <v>833</v>
      </c>
      <c r="F429" s="53" t="s">
        <v>11</v>
      </c>
      <c r="G429" s="54">
        <v>42589</v>
      </c>
      <c r="H429" s="53">
        <v>1043</v>
      </c>
      <c r="I429" s="53">
        <v>956</v>
      </c>
      <c r="J429" s="39" t="s">
        <v>33</v>
      </c>
      <c r="K429" s="39" t="s">
        <v>837</v>
      </c>
      <c r="L429" s="39"/>
      <c r="M429" s="37">
        <v>42951</v>
      </c>
      <c r="N429" s="39">
        <v>6.83</v>
      </c>
      <c r="O429" s="40">
        <v>1133</v>
      </c>
    </row>
    <row r="430" spans="1:16" x14ac:dyDescent="0.55000000000000004">
      <c r="A430" s="24" t="str">
        <f>IF(COUNTIF(B430:$B$5014,B430)&gt;1,IF(COUNTIF($B$5:B430,B430)&gt;1,"",B430&amp;"-I"),B430)</f>
        <v/>
      </c>
      <c r="B430" s="29">
        <f t="shared" si="6"/>
        <v>854</v>
      </c>
      <c r="C430" s="36" t="s">
        <v>446</v>
      </c>
      <c r="D430" s="53">
        <v>591</v>
      </c>
      <c r="E430" s="53" t="s">
        <v>833</v>
      </c>
      <c r="F430" s="53" t="s">
        <v>12</v>
      </c>
      <c r="G430" s="54">
        <v>42605</v>
      </c>
      <c r="H430" s="53">
        <v>1043</v>
      </c>
      <c r="I430" s="53">
        <v>854</v>
      </c>
      <c r="J430" s="39" t="s">
        <v>33</v>
      </c>
      <c r="K430" s="39" t="s">
        <v>1087</v>
      </c>
      <c r="L430" s="39"/>
      <c r="M430" s="37">
        <v>42975</v>
      </c>
      <c r="N430" s="39">
        <v>5.56</v>
      </c>
      <c r="O430" s="40">
        <v>782</v>
      </c>
    </row>
    <row r="431" spans="1:16" x14ac:dyDescent="0.55000000000000004">
      <c r="A431" s="24" t="str">
        <f>IF(COUNTIF(B431:$B$5014,B431)&gt;1,IF(COUNTIF($B$5:B431,B431)&gt;1,"",B431&amp;"-I"),B431)</f>
        <v/>
      </c>
      <c r="B431" s="29">
        <f t="shared" si="6"/>
        <v>988</v>
      </c>
      <c r="C431" s="85" t="s">
        <v>447</v>
      </c>
      <c r="D431" s="72">
        <v>592</v>
      </c>
      <c r="E431" s="72" t="s">
        <v>834</v>
      </c>
      <c r="F431" s="72" t="s">
        <v>11</v>
      </c>
      <c r="G431" s="86">
        <v>42611</v>
      </c>
      <c r="H431" s="72">
        <v>1043</v>
      </c>
      <c r="I431" s="72">
        <v>988</v>
      </c>
      <c r="J431" s="47" t="s">
        <v>33</v>
      </c>
      <c r="K431" s="47" t="s">
        <v>1157</v>
      </c>
      <c r="L431" s="39" t="s">
        <v>844</v>
      </c>
      <c r="M431" s="87">
        <v>42621</v>
      </c>
      <c r="N431" s="47"/>
      <c r="O431" s="50"/>
      <c r="P431" s="100" t="s">
        <v>913</v>
      </c>
    </row>
    <row r="432" spans="1:16" x14ac:dyDescent="0.55000000000000004">
      <c r="A432" s="24" t="str">
        <f>IF(COUNTIF(B432:$B$5014,B432)&gt;1,IF(COUNTIF($B$5:B432,B432)&gt;1,"",B432&amp;"-I"),B432)</f>
        <v/>
      </c>
      <c r="B432" s="29">
        <f t="shared" si="6"/>
        <v>886</v>
      </c>
      <c r="C432" s="36" t="s">
        <v>448</v>
      </c>
      <c r="D432" s="53">
        <v>593</v>
      </c>
      <c r="E432" s="53" t="s">
        <v>834</v>
      </c>
      <c r="F432" s="53" t="s">
        <v>12</v>
      </c>
      <c r="G432" s="54">
        <v>42619</v>
      </c>
      <c r="H432" s="53">
        <v>1043</v>
      </c>
      <c r="I432" s="53">
        <v>886</v>
      </c>
      <c r="J432" s="39" t="s">
        <v>33</v>
      </c>
      <c r="K432" s="39" t="s">
        <v>1087</v>
      </c>
      <c r="L432" s="39"/>
      <c r="M432" s="37">
        <v>42975</v>
      </c>
      <c r="N432" s="39">
        <v>5.56</v>
      </c>
      <c r="O432" s="40">
        <v>782</v>
      </c>
    </row>
    <row r="433" spans="1:15" x14ac:dyDescent="0.55000000000000004">
      <c r="A433" s="24" t="str">
        <f>IF(COUNTIF(B433:$B$5014,B433)&gt;1,IF(COUNTIF($B$5:B433,B433)&gt;1,"",B433&amp;"-I"),B433)</f>
        <v/>
      </c>
      <c r="B433" s="29">
        <f t="shared" si="6"/>
        <v>968</v>
      </c>
      <c r="C433" s="36" t="s">
        <v>449</v>
      </c>
      <c r="D433" s="53">
        <v>594</v>
      </c>
      <c r="E433" s="53" t="s">
        <v>834</v>
      </c>
      <c r="F433" s="53" t="s">
        <v>12</v>
      </c>
      <c r="G433" s="54">
        <v>42623</v>
      </c>
      <c r="H433" s="53">
        <v>1043</v>
      </c>
      <c r="I433" s="53">
        <v>968</v>
      </c>
      <c r="J433" s="39" t="s">
        <v>33</v>
      </c>
      <c r="K433" s="39" t="s">
        <v>1087</v>
      </c>
      <c r="L433" s="39"/>
      <c r="M433" s="37">
        <v>42975</v>
      </c>
      <c r="N433" s="39">
        <v>5.56</v>
      </c>
      <c r="O433" s="40">
        <v>782</v>
      </c>
    </row>
    <row r="434" spans="1:15" x14ac:dyDescent="0.55000000000000004">
      <c r="A434" s="24" t="str">
        <f>IF(COUNTIF(B434:$B$5014,B434)&gt;1,IF(COUNTIF($B$5:B434,B434)&gt;1,"",B434&amp;"-I"),B434)</f>
        <v/>
      </c>
      <c r="B434" s="29">
        <f t="shared" si="6"/>
        <v>875</v>
      </c>
      <c r="C434" s="36" t="s">
        <v>450</v>
      </c>
      <c r="D434" s="53">
        <v>595</v>
      </c>
      <c r="E434" s="53" t="s">
        <v>833</v>
      </c>
      <c r="F434" s="53" t="s">
        <v>12</v>
      </c>
      <c r="G434" s="54">
        <v>42626</v>
      </c>
      <c r="H434" s="53">
        <v>1043</v>
      </c>
      <c r="I434" s="53">
        <v>875</v>
      </c>
      <c r="J434" s="39" t="s">
        <v>33</v>
      </c>
      <c r="K434" s="39" t="s">
        <v>1087</v>
      </c>
      <c r="L434" s="39"/>
      <c r="M434" s="37">
        <v>42975</v>
      </c>
      <c r="N434" s="39">
        <v>5.56</v>
      </c>
      <c r="O434" s="40">
        <v>782</v>
      </c>
    </row>
    <row r="435" spans="1:15" x14ac:dyDescent="0.55000000000000004">
      <c r="A435" s="24" t="str">
        <f>IF(COUNTIF(B435:$B$5014,B435)&gt;1,IF(COUNTIF($B$5:B435,B435)&gt;1,"",B435&amp;"-I"),B435)</f>
        <v/>
      </c>
      <c r="B435" s="29">
        <f t="shared" si="6"/>
        <v>863</v>
      </c>
      <c r="C435" s="36" t="s">
        <v>451</v>
      </c>
      <c r="D435" s="53">
        <v>596</v>
      </c>
      <c r="E435" s="53" t="s">
        <v>833</v>
      </c>
      <c r="F435" s="53" t="s">
        <v>11</v>
      </c>
      <c r="G435" s="54">
        <v>42627</v>
      </c>
      <c r="H435" s="53">
        <v>1043</v>
      </c>
      <c r="I435" s="53">
        <v>863</v>
      </c>
      <c r="J435" s="39" t="s">
        <v>33</v>
      </c>
      <c r="K435" s="39" t="s">
        <v>837</v>
      </c>
      <c r="L435" s="39"/>
      <c r="M435" s="37">
        <v>42951</v>
      </c>
      <c r="N435" s="39">
        <v>6.83</v>
      </c>
      <c r="O435" s="40">
        <v>1133</v>
      </c>
    </row>
    <row r="436" spans="1:15" x14ac:dyDescent="0.55000000000000004">
      <c r="A436" s="24" t="str">
        <f>IF(COUNTIF(B436:$B$5014,B436)&gt;1,IF(COUNTIF($B$5:B436,B436)&gt;1,"",B436&amp;"-I"),B436)</f>
        <v/>
      </c>
      <c r="B436" s="29">
        <f t="shared" si="6"/>
        <v>969</v>
      </c>
      <c r="C436" s="36" t="s">
        <v>452</v>
      </c>
      <c r="D436" s="53">
        <v>597</v>
      </c>
      <c r="E436" s="53" t="s">
        <v>833</v>
      </c>
      <c r="F436" s="53" t="s">
        <v>11</v>
      </c>
      <c r="G436" s="54">
        <v>42631</v>
      </c>
      <c r="H436" s="53">
        <v>1043</v>
      </c>
      <c r="I436" s="53">
        <v>969</v>
      </c>
      <c r="J436" s="39" t="s">
        <v>33</v>
      </c>
      <c r="K436" s="39" t="s">
        <v>837</v>
      </c>
      <c r="L436" s="39"/>
      <c r="M436" s="37">
        <v>42951</v>
      </c>
      <c r="N436" s="39">
        <v>6.83</v>
      </c>
      <c r="O436" s="40">
        <v>1133</v>
      </c>
    </row>
    <row r="437" spans="1:15" x14ac:dyDescent="0.55000000000000004">
      <c r="A437" s="24" t="str">
        <f>IF(COUNTIF(B437:$B$5014,B437)&gt;1,IF(COUNTIF($B$5:B437,B437)&gt;1,"",B437&amp;"-I"),B437)</f>
        <v/>
      </c>
      <c r="B437" s="29">
        <f t="shared" si="6"/>
        <v>870</v>
      </c>
      <c r="C437" s="36" t="s">
        <v>453</v>
      </c>
      <c r="D437" s="53">
        <v>598</v>
      </c>
      <c r="E437" s="53" t="s">
        <v>833</v>
      </c>
      <c r="F437" s="53" t="s">
        <v>12</v>
      </c>
      <c r="G437" s="54">
        <v>42631</v>
      </c>
      <c r="H437" s="53">
        <v>1043</v>
      </c>
      <c r="I437" s="53">
        <v>870</v>
      </c>
      <c r="J437" s="39" t="s">
        <v>33</v>
      </c>
      <c r="K437" s="39" t="s">
        <v>1087</v>
      </c>
      <c r="L437" s="39"/>
      <c r="M437" s="37">
        <v>42975</v>
      </c>
      <c r="N437" s="39">
        <v>5.56</v>
      </c>
      <c r="O437" s="40">
        <v>782</v>
      </c>
    </row>
    <row r="438" spans="1:15" x14ac:dyDescent="0.55000000000000004">
      <c r="A438" s="24" t="str">
        <f>IF(COUNTIF(B438:$B$5014,B438)&gt;1,IF(COUNTIF($B$5:B438,B438)&gt;1,"",B438&amp;"-I"),B438)</f>
        <v/>
      </c>
      <c r="B438" s="29">
        <f t="shared" si="6"/>
        <v>928</v>
      </c>
      <c r="C438" s="36" t="s">
        <v>454</v>
      </c>
      <c r="D438" s="53">
        <v>599</v>
      </c>
      <c r="E438" s="53" t="s">
        <v>833</v>
      </c>
      <c r="F438" s="53" t="s">
        <v>11</v>
      </c>
      <c r="G438" s="54">
        <v>42634</v>
      </c>
      <c r="H438" s="53">
        <v>1043</v>
      </c>
      <c r="I438" s="53">
        <v>928</v>
      </c>
      <c r="J438" s="39" t="s">
        <v>33</v>
      </c>
      <c r="K438" s="39" t="s">
        <v>837</v>
      </c>
      <c r="L438" s="39"/>
      <c r="M438" s="37">
        <v>42951</v>
      </c>
      <c r="N438" s="39">
        <v>6.83</v>
      </c>
      <c r="O438" s="40">
        <v>1133</v>
      </c>
    </row>
    <row r="439" spans="1:15" x14ac:dyDescent="0.55000000000000004">
      <c r="A439" s="24" t="str">
        <f>IF(COUNTIF(B439:$B$5014,B439)&gt;1,IF(COUNTIF($B$5:B439,B439)&gt;1,"",B439&amp;"-I"),B439)</f>
        <v/>
      </c>
      <c r="B439" s="29">
        <f t="shared" si="6"/>
        <v>961</v>
      </c>
      <c r="C439" s="36" t="s">
        <v>455</v>
      </c>
      <c r="D439" s="53">
        <v>600</v>
      </c>
      <c r="E439" s="53" t="s">
        <v>834</v>
      </c>
      <c r="F439" s="53" t="s">
        <v>11</v>
      </c>
      <c r="G439" s="54">
        <v>42635</v>
      </c>
      <c r="H439" s="53">
        <v>1043</v>
      </c>
      <c r="I439" s="53">
        <v>961</v>
      </c>
      <c r="J439" s="39" t="s">
        <v>33</v>
      </c>
      <c r="K439" s="39" t="s">
        <v>837</v>
      </c>
      <c r="L439" s="39"/>
      <c r="M439" s="37">
        <v>42951</v>
      </c>
      <c r="N439" s="39">
        <v>6.83</v>
      </c>
      <c r="O439" s="40">
        <v>1133</v>
      </c>
    </row>
    <row r="440" spans="1:15" x14ac:dyDescent="0.55000000000000004">
      <c r="A440" s="24" t="str">
        <f>IF(COUNTIF(B440:$B$5014,B440)&gt;1,IF(COUNTIF($B$5:B440,B440)&gt;1,"",B440&amp;"-I"),B440)</f>
        <v/>
      </c>
      <c r="B440" s="29">
        <f t="shared" si="6"/>
        <v>859</v>
      </c>
      <c r="C440" s="36" t="s">
        <v>456</v>
      </c>
      <c r="D440" s="53">
        <v>601</v>
      </c>
      <c r="E440" s="53" t="s">
        <v>833</v>
      </c>
      <c r="F440" s="53" t="s">
        <v>11</v>
      </c>
      <c r="G440" s="54">
        <v>42635</v>
      </c>
      <c r="H440" s="53">
        <v>1043</v>
      </c>
      <c r="I440" s="53">
        <v>859</v>
      </c>
      <c r="J440" s="39" t="s">
        <v>33</v>
      </c>
      <c r="K440" s="39" t="s">
        <v>837</v>
      </c>
      <c r="L440" s="39"/>
      <c r="M440" s="37">
        <v>42951</v>
      </c>
      <c r="N440" s="39">
        <v>6.83</v>
      </c>
      <c r="O440" s="40">
        <v>1133</v>
      </c>
    </row>
    <row r="441" spans="1:15" x14ac:dyDescent="0.55000000000000004">
      <c r="A441" s="24" t="str">
        <f>IF(COUNTIF(B441:$B$5014,B441)&gt;1,IF(COUNTIF($B$5:B441,B441)&gt;1,"",B441&amp;"-I"),B441)</f>
        <v/>
      </c>
      <c r="B441" s="29">
        <f t="shared" si="6"/>
        <v>934</v>
      </c>
      <c r="C441" s="36" t="s">
        <v>457</v>
      </c>
      <c r="D441" s="53">
        <v>602</v>
      </c>
      <c r="E441" s="53" t="s">
        <v>833</v>
      </c>
      <c r="F441" s="53" t="s">
        <v>11</v>
      </c>
      <c r="G441" s="54">
        <v>42639</v>
      </c>
      <c r="H441" s="53">
        <v>1043</v>
      </c>
      <c r="I441" s="53">
        <v>934</v>
      </c>
      <c r="J441" s="39" t="s">
        <v>33</v>
      </c>
      <c r="K441" s="39" t="s">
        <v>837</v>
      </c>
      <c r="L441" s="39"/>
      <c r="M441" s="37">
        <v>42951</v>
      </c>
      <c r="N441" s="39">
        <v>6.83</v>
      </c>
      <c r="O441" s="40">
        <v>1133</v>
      </c>
    </row>
    <row r="442" spans="1:15" x14ac:dyDescent="0.55000000000000004">
      <c r="A442" s="24" t="str">
        <f>IF(COUNTIF(B442:$B$5014,B442)&gt;1,IF(COUNTIF($B$5:B442,B442)&gt;1,"",B442&amp;"-I"),B442)</f>
        <v/>
      </c>
      <c r="B442" s="29">
        <f t="shared" si="6"/>
        <v>869</v>
      </c>
      <c r="C442" s="36" t="s">
        <v>458</v>
      </c>
      <c r="D442" s="53">
        <v>603</v>
      </c>
      <c r="E442" s="53" t="s">
        <v>833</v>
      </c>
      <c r="F442" s="53" t="s">
        <v>11</v>
      </c>
      <c r="G442" s="54">
        <v>42639</v>
      </c>
      <c r="H442" s="53">
        <v>1043</v>
      </c>
      <c r="I442" s="53">
        <v>869</v>
      </c>
      <c r="J442" s="39" t="s">
        <v>33</v>
      </c>
      <c r="K442" s="39" t="s">
        <v>837</v>
      </c>
      <c r="L442" s="39"/>
      <c r="M442" s="37">
        <v>42951</v>
      </c>
      <c r="N442" s="39">
        <v>6.83</v>
      </c>
      <c r="O442" s="40">
        <v>1133</v>
      </c>
    </row>
    <row r="443" spans="1:15" x14ac:dyDescent="0.55000000000000004">
      <c r="A443" s="24" t="str">
        <f>IF(COUNTIF(B443:$B$5014,B443)&gt;1,IF(COUNTIF($B$5:B443,B443)&gt;1,"",B443&amp;"-I"),B443)</f>
        <v/>
      </c>
      <c r="B443" s="29">
        <f t="shared" si="6"/>
        <v>899</v>
      </c>
      <c r="C443" s="36" t="s">
        <v>459</v>
      </c>
      <c r="D443" s="53">
        <v>604</v>
      </c>
      <c r="E443" s="53" t="s">
        <v>833</v>
      </c>
      <c r="F443" s="53" t="s">
        <v>12</v>
      </c>
      <c r="G443" s="54">
        <v>42643</v>
      </c>
      <c r="H443" s="53">
        <v>1043</v>
      </c>
      <c r="I443" s="53">
        <v>899</v>
      </c>
      <c r="J443" s="39" t="s">
        <v>33</v>
      </c>
      <c r="K443" s="39" t="s">
        <v>1087</v>
      </c>
      <c r="L443" s="39"/>
      <c r="M443" s="37">
        <v>42975</v>
      </c>
      <c r="N443" s="39">
        <v>5.56</v>
      </c>
      <c r="O443" s="40">
        <v>782</v>
      </c>
    </row>
    <row r="444" spans="1:15" x14ac:dyDescent="0.55000000000000004">
      <c r="A444" s="24" t="str">
        <f>IF(COUNTIF(B444:$B$5014,B444)&gt;1,IF(COUNTIF($B$5:B444,B444)&gt;1,"",B444&amp;"-I"),B444)</f>
        <v/>
      </c>
      <c r="B444" s="29">
        <f t="shared" si="6"/>
        <v>973</v>
      </c>
      <c r="C444" s="36" t="s">
        <v>460</v>
      </c>
      <c r="D444" s="53">
        <v>605</v>
      </c>
      <c r="E444" s="53" t="s">
        <v>833</v>
      </c>
      <c r="F444" s="53" t="s">
        <v>12</v>
      </c>
      <c r="G444" s="54">
        <v>42645</v>
      </c>
      <c r="H444" s="53">
        <v>1043</v>
      </c>
      <c r="I444" s="53">
        <v>973</v>
      </c>
      <c r="J444" s="39" t="s">
        <v>33</v>
      </c>
      <c r="K444" s="39" t="s">
        <v>1087</v>
      </c>
      <c r="L444" s="39"/>
      <c r="M444" s="37">
        <v>42975</v>
      </c>
      <c r="N444" s="39">
        <v>5.56</v>
      </c>
      <c r="O444" s="40">
        <v>782</v>
      </c>
    </row>
    <row r="445" spans="1:15" x14ac:dyDescent="0.55000000000000004">
      <c r="A445" s="24" t="str">
        <f>IF(COUNTIF(B445:$B$5014,B445)&gt;1,IF(COUNTIF($B$5:B445,B445)&gt;1,"",B445&amp;"-I"),B445)</f>
        <v/>
      </c>
      <c r="B445" s="29">
        <f t="shared" si="6"/>
        <v>933</v>
      </c>
      <c r="C445" s="36" t="s">
        <v>461</v>
      </c>
      <c r="D445" s="53">
        <v>606</v>
      </c>
      <c r="E445" s="53" t="s">
        <v>833</v>
      </c>
      <c r="F445" s="53" t="s">
        <v>12</v>
      </c>
      <c r="G445" s="54">
        <v>42649</v>
      </c>
      <c r="H445" s="53" t="s">
        <v>26</v>
      </c>
      <c r="I445" s="53">
        <v>933</v>
      </c>
      <c r="J445" s="39" t="s">
        <v>33</v>
      </c>
      <c r="K445" s="39" t="s">
        <v>1087</v>
      </c>
      <c r="L445" s="39"/>
      <c r="M445" s="37">
        <v>42975</v>
      </c>
      <c r="N445" s="39">
        <v>5.56</v>
      </c>
      <c r="O445" s="40">
        <v>782</v>
      </c>
    </row>
    <row r="446" spans="1:15" x14ac:dyDescent="0.55000000000000004">
      <c r="A446" s="24" t="str">
        <f>IF(COUNTIF(B446:$B$5014,B446)&gt;1,IF(COUNTIF($B$5:B446,B446)&gt;1,"",B446&amp;"-I"),B446)</f>
        <v/>
      </c>
      <c r="B446" s="29">
        <f t="shared" si="6"/>
        <v>949</v>
      </c>
      <c r="C446" s="36" t="s">
        <v>462</v>
      </c>
      <c r="D446" s="53">
        <v>607</v>
      </c>
      <c r="E446" s="53" t="s">
        <v>833</v>
      </c>
      <c r="F446" s="53" t="s">
        <v>12</v>
      </c>
      <c r="G446" s="54">
        <v>42654</v>
      </c>
      <c r="H446" s="53" t="s">
        <v>26</v>
      </c>
      <c r="I446" s="53">
        <v>949</v>
      </c>
      <c r="J446" s="39" t="s">
        <v>33</v>
      </c>
      <c r="K446" s="39" t="s">
        <v>1087</v>
      </c>
      <c r="L446" s="39"/>
      <c r="M446" s="37">
        <v>42975</v>
      </c>
      <c r="N446" s="39">
        <v>5.56</v>
      </c>
      <c r="O446" s="40">
        <v>782</v>
      </c>
    </row>
    <row r="447" spans="1:15" x14ac:dyDescent="0.55000000000000004">
      <c r="A447" s="24" t="str">
        <f>IF(COUNTIF(B447:$B$5014,B447)&gt;1,IF(COUNTIF($B$5:B447,B447)&gt;1,"",B447&amp;"-I"),B447)</f>
        <v/>
      </c>
      <c r="B447" s="29">
        <f t="shared" si="6"/>
        <v>946</v>
      </c>
      <c r="C447" s="36" t="s">
        <v>463</v>
      </c>
      <c r="D447" s="53">
        <v>608</v>
      </c>
      <c r="E447" s="53" t="s">
        <v>833</v>
      </c>
      <c r="F447" s="53" t="s">
        <v>12</v>
      </c>
      <c r="G447" s="54">
        <v>42662</v>
      </c>
      <c r="H447" s="53" t="s">
        <v>26</v>
      </c>
      <c r="I447" s="53">
        <v>946</v>
      </c>
      <c r="J447" s="39" t="s">
        <v>33</v>
      </c>
      <c r="K447" s="39" t="s">
        <v>1087</v>
      </c>
      <c r="L447" s="39"/>
      <c r="M447" s="37">
        <v>42975</v>
      </c>
      <c r="N447" s="39">
        <v>5.56</v>
      </c>
      <c r="O447" s="40">
        <v>782</v>
      </c>
    </row>
    <row r="448" spans="1:15" x14ac:dyDescent="0.55000000000000004">
      <c r="A448" s="24" t="str">
        <f>IF(COUNTIF(B448:$B$5014,B448)&gt;1,IF(COUNTIF($B$5:B448,B448)&gt;1,"",B448&amp;"-I"),B448)</f>
        <v/>
      </c>
      <c r="B448" s="29">
        <f t="shared" si="6"/>
        <v>877</v>
      </c>
      <c r="C448" s="36" t="s">
        <v>464</v>
      </c>
      <c r="D448" s="53">
        <v>609</v>
      </c>
      <c r="E448" s="53" t="s">
        <v>833</v>
      </c>
      <c r="F448" s="53" t="s">
        <v>12</v>
      </c>
      <c r="G448" s="54">
        <v>42681</v>
      </c>
      <c r="H448" s="53">
        <v>1055</v>
      </c>
      <c r="I448" s="53">
        <v>877</v>
      </c>
      <c r="J448" s="39" t="s">
        <v>33</v>
      </c>
      <c r="K448" s="39" t="s">
        <v>1087</v>
      </c>
      <c r="L448" s="39"/>
      <c r="M448" s="37">
        <v>42975</v>
      </c>
      <c r="N448" s="39">
        <v>5.56</v>
      </c>
      <c r="O448" s="40">
        <v>782</v>
      </c>
    </row>
    <row r="449" spans="1:15" x14ac:dyDescent="0.55000000000000004">
      <c r="A449" s="24" t="str">
        <f>IF(COUNTIF(B449:$B$5014,B449)&gt;1,IF(COUNTIF($B$5:B449,B449)&gt;1,"",B449&amp;"-I"),B449)</f>
        <v/>
      </c>
      <c r="B449" s="29">
        <f t="shared" si="6"/>
        <v>990</v>
      </c>
      <c r="C449" s="36" t="s">
        <v>465</v>
      </c>
      <c r="D449" s="53">
        <v>610</v>
      </c>
      <c r="E449" s="53" t="s">
        <v>833</v>
      </c>
      <c r="F449" s="53" t="s">
        <v>12</v>
      </c>
      <c r="G449" s="54">
        <v>42681</v>
      </c>
      <c r="H449" s="53">
        <v>1055</v>
      </c>
      <c r="I449" s="53">
        <v>990</v>
      </c>
      <c r="J449" s="39" t="s">
        <v>33</v>
      </c>
      <c r="K449" s="39" t="s">
        <v>1087</v>
      </c>
      <c r="L449" s="39"/>
      <c r="M449" s="37">
        <v>42975</v>
      </c>
      <c r="N449" s="39">
        <v>5.56</v>
      </c>
      <c r="O449" s="40">
        <v>782</v>
      </c>
    </row>
    <row r="450" spans="1:15" x14ac:dyDescent="0.55000000000000004">
      <c r="A450" s="24" t="str">
        <f>IF(COUNTIF(B450:$B$5014,B450)&gt;1,IF(COUNTIF($B$5:B450,B450)&gt;1,"",B450&amp;"-I"),B450)</f>
        <v/>
      </c>
      <c r="B450" s="29">
        <f t="shared" si="6"/>
        <v>954</v>
      </c>
      <c r="C450" s="36" t="s">
        <v>466</v>
      </c>
      <c r="D450" s="53">
        <v>611</v>
      </c>
      <c r="E450" s="53" t="s">
        <v>833</v>
      </c>
      <c r="F450" s="53" t="s">
        <v>11</v>
      </c>
      <c r="G450" s="54">
        <v>42689</v>
      </c>
      <c r="H450" s="53">
        <v>1055</v>
      </c>
      <c r="I450" s="53">
        <v>954</v>
      </c>
      <c r="J450" s="39" t="s">
        <v>33</v>
      </c>
      <c r="K450" s="39" t="s">
        <v>837</v>
      </c>
      <c r="L450" s="39"/>
      <c r="M450" s="37">
        <v>42951</v>
      </c>
      <c r="N450" s="39">
        <v>6.83</v>
      </c>
      <c r="O450" s="40">
        <v>1133</v>
      </c>
    </row>
    <row r="451" spans="1:15" x14ac:dyDescent="0.55000000000000004">
      <c r="A451" s="24" t="str">
        <f>IF(COUNTIF(B451:$B$5014,B451)&gt;1,IF(COUNTIF($B$5:B451,B451)&gt;1,"",B451&amp;"-I"),B451)</f>
        <v/>
      </c>
      <c r="B451" s="29">
        <f t="shared" si="6"/>
        <v>876</v>
      </c>
      <c r="C451" s="36" t="s">
        <v>467</v>
      </c>
      <c r="D451" s="53">
        <v>612</v>
      </c>
      <c r="E451" s="53" t="s">
        <v>833</v>
      </c>
      <c r="F451" s="53" t="s">
        <v>11</v>
      </c>
      <c r="G451" s="54">
        <v>42689</v>
      </c>
      <c r="H451" s="53" t="s">
        <v>26</v>
      </c>
      <c r="I451" s="53">
        <v>876</v>
      </c>
      <c r="J451" s="39" t="s">
        <v>33</v>
      </c>
      <c r="K451" s="39" t="s">
        <v>837</v>
      </c>
      <c r="L451" s="39"/>
      <c r="M451" s="37">
        <v>42951</v>
      </c>
      <c r="N451" s="39">
        <v>6.83</v>
      </c>
      <c r="O451" s="40">
        <v>1133</v>
      </c>
    </row>
    <row r="452" spans="1:15" x14ac:dyDescent="0.55000000000000004">
      <c r="A452" s="24" t="str">
        <f>IF(COUNTIF(B452:$B$5014,B452)&gt;1,IF(COUNTIF($B$5:B452,B452)&gt;1,"",B452&amp;"-I"),B452)</f>
        <v/>
      </c>
      <c r="B452" s="29">
        <f t="shared" si="6"/>
        <v>965</v>
      </c>
      <c r="C452" s="36" t="s">
        <v>468</v>
      </c>
      <c r="D452" s="53">
        <v>613</v>
      </c>
      <c r="E452" s="53" t="s">
        <v>833</v>
      </c>
      <c r="F452" s="53" t="s">
        <v>11</v>
      </c>
      <c r="G452" s="54">
        <v>42727</v>
      </c>
      <c r="H452" s="53">
        <v>1055</v>
      </c>
      <c r="I452" s="53">
        <v>965</v>
      </c>
      <c r="J452" s="39" t="s">
        <v>33</v>
      </c>
      <c r="K452" s="39" t="s">
        <v>837</v>
      </c>
      <c r="L452" s="39"/>
      <c r="M452" s="37">
        <v>42951</v>
      </c>
      <c r="N452" s="39">
        <v>6.83</v>
      </c>
      <c r="O452" s="40">
        <v>1133</v>
      </c>
    </row>
    <row r="453" spans="1:15" x14ac:dyDescent="0.55000000000000004">
      <c r="A453" s="24">
        <f>IF(COUNTIF(B453:$B$5014,B453)&gt;1,IF(COUNTIF($B$5:B453,B453)&gt;1,"",B453&amp;"-I"),B453)</f>
        <v>928</v>
      </c>
      <c r="B453" s="29">
        <f t="shared" ref="B453:B516" si="7">+I453</f>
        <v>928</v>
      </c>
      <c r="C453" s="85" t="s">
        <v>469</v>
      </c>
      <c r="D453" s="72" t="s">
        <v>13</v>
      </c>
      <c r="E453" s="72" t="s">
        <v>13</v>
      </c>
      <c r="F453" s="72" t="s">
        <v>13</v>
      </c>
      <c r="G453" s="86">
        <v>43008</v>
      </c>
      <c r="H453" s="72">
        <v>1043</v>
      </c>
      <c r="I453" s="72">
        <v>928</v>
      </c>
      <c r="J453" s="47" t="s">
        <v>33</v>
      </c>
      <c r="K453" s="47" t="s">
        <v>1157</v>
      </c>
      <c r="L453" s="39" t="s">
        <v>832</v>
      </c>
      <c r="M453" s="47" t="s">
        <v>864</v>
      </c>
      <c r="N453" s="47" t="s">
        <v>864</v>
      </c>
      <c r="O453" s="50" t="s">
        <v>864</v>
      </c>
    </row>
    <row r="454" spans="1:15" x14ac:dyDescent="0.55000000000000004">
      <c r="A454" s="24" t="str">
        <f>IF(COUNTIF(B454:$B$5014,B454)&gt;1,IF(COUNTIF($B$5:B454,B454)&gt;1,"",B454&amp;"-I"),B454)</f>
        <v/>
      </c>
      <c r="B454" s="29">
        <f t="shared" si="7"/>
        <v>867</v>
      </c>
      <c r="C454" s="36" t="s">
        <v>470</v>
      </c>
      <c r="D454" s="53">
        <v>614</v>
      </c>
      <c r="E454" s="53" t="s">
        <v>833</v>
      </c>
      <c r="F454" s="53" t="s">
        <v>11</v>
      </c>
      <c r="G454" s="54">
        <v>42786</v>
      </c>
      <c r="H454" s="53" t="s">
        <v>26</v>
      </c>
      <c r="I454" s="53">
        <v>867</v>
      </c>
      <c r="J454" s="39" t="s">
        <v>33</v>
      </c>
      <c r="K454" s="39" t="s">
        <v>837</v>
      </c>
      <c r="L454" s="39"/>
      <c r="M454" s="37">
        <v>42951</v>
      </c>
      <c r="N454" s="39">
        <v>6.83</v>
      </c>
      <c r="O454" s="40">
        <v>1133</v>
      </c>
    </row>
    <row r="455" spans="1:15" x14ac:dyDescent="0.55000000000000004">
      <c r="A455" s="24" t="str">
        <f>IF(COUNTIF(B455:$B$5014,B455)&gt;1,IF(COUNTIF($B$5:B455,B455)&gt;1,"",B455&amp;"-I"),B455)</f>
        <v/>
      </c>
      <c r="B455" s="29">
        <f t="shared" si="7"/>
        <v>882</v>
      </c>
      <c r="C455" s="36" t="s">
        <v>471</v>
      </c>
      <c r="D455" s="53">
        <v>615</v>
      </c>
      <c r="E455" s="53" t="s">
        <v>833</v>
      </c>
      <c r="F455" s="53" t="s">
        <v>11</v>
      </c>
      <c r="G455" s="54">
        <v>42793</v>
      </c>
      <c r="H455" s="53">
        <v>1043</v>
      </c>
      <c r="I455" s="53">
        <v>882</v>
      </c>
      <c r="J455" s="39" t="s">
        <v>33</v>
      </c>
      <c r="K455" s="39" t="s">
        <v>837</v>
      </c>
      <c r="L455" s="39"/>
      <c r="M455" s="37">
        <v>42951</v>
      </c>
      <c r="N455" s="39">
        <v>6.83</v>
      </c>
      <c r="O455" s="40">
        <v>1133</v>
      </c>
    </row>
    <row r="456" spans="1:15" x14ac:dyDescent="0.55000000000000004">
      <c r="A456" s="24" t="str">
        <f>IF(COUNTIF(B456:$B$5014,B456)&gt;1,IF(COUNTIF($B$5:B456,B456)&gt;1,"",B456&amp;"-I"),B456)</f>
        <v/>
      </c>
      <c r="B456" s="29">
        <f t="shared" si="7"/>
        <v>944</v>
      </c>
      <c r="C456" s="36" t="s">
        <v>472</v>
      </c>
      <c r="D456" s="53">
        <v>616</v>
      </c>
      <c r="E456" s="53" t="s">
        <v>833</v>
      </c>
      <c r="F456" s="53" t="s">
        <v>12</v>
      </c>
      <c r="G456" s="54">
        <v>42794</v>
      </c>
      <c r="H456" s="53">
        <v>1055</v>
      </c>
      <c r="I456" s="53">
        <v>944</v>
      </c>
      <c r="J456" s="39" t="s">
        <v>33</v>
      </c>
      <c r="K456" s="39" t="s">
        <v>851</v>
      </c>
      <c r="L456" s="39"/>
      <c r="M456" s="37">
        <v>43162</v>
      </c>
      <c r="N456" s="39">
        <v>5.62</v>
      </c>
      <c r="O456" s="40">
        <v>1012</v>
      </c>
    </row>
    <row r="457" spans="1:15" x14ac:dyDescent="0.55000000000000004">
      <c r="A457" s="24" t="str">
        <f>IF(COUNTIF(B457:$B$5014,B457)&gt;1,IF(COUNTIF($B$5:B457,B457)&gt;1,"",B457&amp;"-I"),B457)</f>
        <v/>
      </c>
      <c r="B457" s="29">
        <f t="shared" si="7"/>
        <v>967</v>
      </c>
      <c r="C457" s="36" t="s">
        <v>473</v>
      </c>
      <c r="D457" s="53">
        <v>617</v>
      </c>
      <c r="E457" s="53" t="s">
        <v>834</v>
      </c>
      <c r="F457" s="53" t="s">
        <v>12</v>
      </c>
      <c r="G457" s="54">
        <v>42859</v>
      </c>
      <c r="H457" s="53">
        <v>1043</v>
      </c>
      <c r="I457" s="53">
        <v>967</v>
      </c>
      <c r="J457" s="39" t="s">
        <v>33</v>
      </c>
      <c r="K457" s="39" t="s">
        <v>851</v>
      </c>
      <c r="L457" s="39"/>
      <c r="M457" s="37">
        <v>43162</v>
      </c>
      <c r="N457" s="39">
        <v>5.01</v>
      </c>
      <c r="O457" s="40">
        <v>852</v>
      </c>
    </row>
    <row r="458" spans="1:15" x14ac:dyDescent="0.55000000000000004">
      <c r="A458" s="24" t="str">
        <f>IF(COUNTIF(B458:$B$5014,B458)&gt;1,IF(COUNTIF($B$5:B458,B458)&gt;1,"",B458&amp;"-I"),B458)</f>
        <v/>
      </c>
      <c r="B458" s="29">
        <f t="shared" si="7"/>
        <v>939</v>
      </c>
      <c r="C458" s="36" t="s">
        <v>474</v>
      </c>
      <c r="D458" s="53">
        <v>618</v>
      </c>
      <c r="E458" s="53" t="s">
        <v>833</v>
      </c>
      <c r="F458" s="53" t="s">
        <v>12</v>
      </c>
      <c r="G458" s="54">
        <v>42864</v>
      </c>
      <c r="H458" s="53" t="s">
        <v>26</v>
      </c>
      <c r="I458" s="53">
        <v>939</v>
      </c>
      <c r="J458" s="39" t="s">
        <v>33</v>
      </c>
      <c r="K458" s="39" t="s">
        <v>851</v>
      </c>
      <c r="L458" s="39"/>
      <c r="M458" s="37">
        <v>43162</v>
      </c>
      <c r="N458" s="39">
        <v>5.01</v>
      </c>
      <c r="O458" s="40">
        <v>852</v>
      </c>
    </row>
    <row r="459" spans="1:15" x14ac:dyDescent="0.55000000000000004">
      <c r="A459" s="24" t="str">
        <f>IF(COUNTIF(B459:$B$5014,B459)&gt;1,IF(COUNTIF($B$5:B459,B459)&gt;1,"",B459&amp;"-I"),B459)</f>
        <v/>
      </c>
      <c r="B459" s="29">
        <f t="shared" si="7"/>
        <v>957</v>
      </c>
      <c r="C459" s="36" t="s">
        <v>475</v>
      </c>
      <c r="D459" s="53">
        <v>619</v>
      </c>
      <c r="E459" s="53" t="s">
        <v>833</v>
      </c>
      <c r="F459" s="53" t="s">
        <v>12</v>
      </c>
      <c r="G459" s="54">
        <v>42871</v>
      </c>
      <c r="H459" s="53" t="s">
        <v>26</v>
      </c>
      <c r="I459" s="53">
        <v>957</v>
      </c>
      <c r="J459" s="39" t="s">
        <v>33</v>
      </c>
      <c r="K459" s="39" t="s">
        <v>851</v>
      </c>
      <c r="L459" s="39"/>
      <c r="M459" s="37">
        <v>43162</v>
      </c>
      <c r="N459" s="39">
        <v>5.01</v>
      </c>
      <c r="O459" s="40">
        <v>852</v>
      </c>
    </row>
    <row r="460" spans="1:15" x14ac:dyDescent="0.55000000000000004">
      <c r="A460" s="24" t="str">
        <f>IF(COUNTIF(B460:$B$5014,B460)&gt;1,IF(COUNTIF($B$5:B460,B460)&gt;1,"",B460&amp;"-I"),B460)</f>
        <v/>
      </c>
      <c r="B460" s="29">
        <f t="shared" si="7"/>
        <v>945</v>
      </c>
      <c r="C460" s="36" t="s">
        <v>476</v>
      </c>
      <c r="D460" s="53">
        <v>620</v>
      </c>
      <c r="E460" s="53" t="s">
        <v>833</v>
      </c>
      <c r="F460" s="53" t="s">
        <v>12</v>
      </c>
      <c r="G460" s="54">
        <v>42873</v>
      </c>
      <c r="H460" s="53" t="s">
        <v>26</v>
      </c>
      <c r="I460" s="53">
        <v>945</v>
      </c>
      <c r="J460" s="39" t="s">
        <v>33</v>
      </c>
      <c r="K460" s="39" t="s">
        <v>851</v>
      </c>
      <c r="L460" s="39"/>
      <c r="M460" s="37">
        <v>43162</v>
      </c>
      <c r="N460" s="39">
        <v>5.01</v>
      </c>
      <c r="O460" s="40">
        <v>852</v>
      </c>
    </row>
    <row r="461" spans="1:15" x14ac:dyDescent="0.55000000000000004">
      <c r="A461" s="24">
        <f>IF(COUNTIF(B461:$B$5014,B461)&gt;1,IF(COUNTIF($B$5:B461,B461)&gt;1,"",B461&amp;"-I"),B461)</f>
        <v>929</v>
      </c>
      <c r="B461" s="29">
        <f t="shared" si="7"/>
        <v>929</v>
      </c>
      <c r="C461" s="36" t="s">
        <v>477</v>
      </c>
      <c r="D461" s="53">
        <v>621</v>
      </c>
      <c r="E461" s="53" t="s">
        <v>833</v>
      </c>
      <c r="F461" s="53" t="s">
        <v>11</v>
      </c>
      <c r="G461" s="54">
        <v>42875</v>
      </c>
      <c r="H461" s="53" t="s">
        <v>26</v>
      </c>
      <c r="I461" s="53">
        <v>929</v>
      </c>
      <c r="J461" s="39" t="s">
        <v>33</v>
      </c>
      <c r="K461" s="39" t="s">
        <v>851</v>
      </c>
      <c r="L461" s="39"/>
      <c r="M461" s="37">
        <v>43162</v>
      </c>
      <c r="N461" s="39">
        <v>5.62</v>
      </c>
      <c r="O461" s="40">
        <v>1012</v>
      </c>
    </row>
    <row r="462" spans="1:15" x14ac:dyDescent="0.55000000000000004">
      <c r="A462" s="24" t="str">
        <f>IF(COUNTIF(B462:$B$5014,B462)&gt;1,IF(COUNTIF($B$5:B462,B462)&gt;1,"",B462&amp;"-I"),B462)</f>
        <v/>
      </c>
      <c r="B462" s="29">
        <f t="shared" si="7"/>
        <v>943</v>
      </c>
      <c r="C462" s="36" t="s">
        <v>478</v>
      </c>
      <c r="D462" s="53">
        <v>622</v>
      </c>
      <c r="E462" s="53" t="s">
        <v>833</v>
      </c>
      <c r="F462" s="53" t="s">
        <v>11</v>
      </c>
      <c r="G462" s="54">
        <v>42879</v>
      </c>
      <c r="H462" s="53" t="s">
        <v>26</v>
      </c>
      <c r="I462" s="53">
        <v>943</v>
      </c>
      <c r="J462" s="39" t="s">
        <v>33</v>
      </c>
      <c r="K462" s="39" t="s">
        <v>851</v>
      </c>
      <c r="L462" s="39"/>
      <c r="M462" s="37">
        <v>43162</v>
      </c>
      <c r="N462" s="39">
        <v>5.62</v>
      </c>
      <c r="O462" s="40">
        <v>1012</v>
      </c>
    </row>
    <row r="463" spans="1:15" x14ac:dyDescent="0.55000000000000004">
      <c r="A463" s="24" t="str">
        <f>IF(COUNTIF(B463:$B$5014,B463)&gt;1,IF(COUNTIF($B$5:B463,B463)&gt;1,"",B463&amp;"-I"),B463)</f>
        <v/>
      </c>
      <c r="B463" s="29">
        <f t="shared" si="7"/>
        <v>880</v>
      </c>
      <c r="C463" s="36" t="s">
        <v>479</v>
      </c>
      <c r="D463" s="53">
        <v>623</v>
      </c>
      <c r="E463" s="53" t="s">
        <v>834</v>
      </c>
      <c r="F463" s="53" t="s">
        <v>11</v>
      </c>
      <c r="G463" s="54">
        <v>42885</v>
      </c>
      <c r="H463" s="53" t="s">
        <v>26</v>
      </c>
      <c r="I463" s="53">
        <v>880</v>
      </c>
      <c r="J463" s="39" t="s">
        <v>33</v>
      </c>
      <c r="K463" s="39" t="s">
        <v>851</v>
      </c>
      <c r="L463" s="39"/>
      <c r="M463" s="37">
        <v>43162</v>
      </c>
      <c r="N463" s="39">
        <v>5.62</v>
      </c>
      <c r="O463" s="40">
        <v>1012</v>
      </c>
    </row>
    <row r="464" spans="1:15" x14ac:dyDescent="0.55000000000000004">
      <c r="A464" s="24">
        <f>IF(COUNTIF(B464:$B$5014,B464)&gt;1,IF(COUNTIF($B$5:B464,B464)&gt;1,"",B464&amp;"-I"),B464)</f>
        <v>900</v>
      </c>
      <c r="B464" s="29">
        <f t="shared" si="7"/>
        <v>900</v>
      </c>
      <c r="C464" s="36" t="s">
        <v>480</v>
      </c>
      <c r="D464" s="53">
        <v>624</v>
      </c>
      <c r="E464" s="53" t="s">
        <v>833</v>
      </c>
      <c r="F464" s="53" t="s">
        <v>11</v>
      </c>
      <c r="G464" s="54">
        <v>42886</v>
      </c>
      <c r="H464" s="53" t="s">
        <v>26</v>
      </c>
      <c r="I464" s="53">
        <v>900</v>
      </c>
      <c r="J464" s="39" t="s">
        <v>33</v>
      </c>
      <c r="K464" s="39" t="s">
        <v>851</v>
      </c>
      <c r="L464" s="39"/>
      <c r="M464" s="37">
        <v>43162</v>
      </c>
      <c r="N464" s="39">
        <v>5.62</v>
      </c>
      <c r="O464" s="40">
        <v>1012</v>
      </c>
    </row>
    <row r="465" spans="1:19" x14ac:dyDescent="0.55000000000000004">
      <c r="A465" s="24" t="str">
        <f>IF(COUNTIF(B465:$B$5014,B465)&gt;1,IF(COUNTIF($B$5:B465,B465)&gt;1,"",B465&amp;"-I"),B465)</f>
        <v/>
      </c>
      <c r="B465" s="29">
        <f t="shared" si="7"/>
        <v>942</v>
      </c>
      <c r="C465" s="36" t="s">
        <v>481</v>
      </c>
      <c r="D465" s="53">
        <v>625</v>
      </c>
      <c r="E465" s="53" t="s">
        <v>833</v>
      </c>
      <c r="F465" s="53" t="s">
        <v>12</v>
      </c>
      <c r="G465" s="54">
        <v>42886</v>
      </c>
      <c r="H465" s="53" t="s">
        <v>26</v>
      </c>
      <c r="I465" s="53">
        <v>942</v>
      </c>
      <c r="J465" s="39" t="s">
        <v>33</v>
      </c>
      <c r="K465" s="39" t="s">
        <v>851</v>
      </c>
      <c r="L465" s="39"/>
      <c r="M465" s="37">
        <v>43162</v>
      </c>
      <c r="N465" s="39">
        <v>5.01</v>
      </c>
      <c r="O465" s="40">
        <v>852</v>
      </c>
    </row>
    <row r="466" spans="1:19" x14ac:dyDescent="0.55000000000000004">
      <c r="A466" s="24">
        <f>IF(COUNTIF(B466:$B$5014,B466)&gt;1,IF(COUNTIF($B$5:B466,B466)&gt;1,"",B466&amp;"-I"),B466)</f>
        <v>951</v>
      </c>
      <c r="B466" s="29">
        <f t="shared" si="7"/>
        <v>951</v>
      </c>
      <c r="C466" s="36" t="s">
        <v>482</v>
      </c>
      <c r="D466" s="53">
        <v>626</v>
      </c>
      <c r="E466" s="53" t="s">
        <v>834</v>
      </c>
      <c r="F466" s="53" t="s">
        <v>11</v>
      </c>
      <c r="G466" s="54">
        <v>42878</v>
      </c>
      <c r="H466" s="53" t="s">
        <v>26</v>
      </c>
      <c r="I466" s="53">
        <v>951</v>
      </c>
      <c r="J466" s="39" t="s">
        <v>33</v>
      </c>
      <c r="K466" s="39" t="s">
        <v>851</v>
      </c>
      <c r="L466" s="39"/>
      <c r="M466" s="37">
        <v>43162</v>
      </c>
      <c r="N466" s="39">
        <v>5.62</v>
      </c>
      <c r="O466" s="40" t="s">
        <v>858</v>
      </c>
    </row>
    <row r="467" spans="1:19" x14ac:dyDescent="0.55000000000000004">
      <c r="A467" s="24" t="str">
        <f>IF(COUNTIF(B467:$B$5014,B467)&gt;1,IF(COUNTIF($B$5:B467,B467)&gt;1,"",B467&amp;"-I"),B467)</f>
        <v/>
      </c>
      <c r="B467" s="29">
        <f t="shared" si="7"/>
        <v>884</v>
      </c>
      <c r="C467" s="36" t="s">
        <v>483</v>
      </c>
      <c r="D467" s="53">
        <v>627</v>
      </c>
      <c r="E467" s="53" t="s">
        <v>833</v>
      </c>
      <c r="F467" s="53" t="s">
        <v>11</v>
      </c>
      <c r="G467" s="54">
        <v>42889</v>
      </c>
      <c r="H467" s="53" t="s">
        <v>26</v>
      </c>
      <c r="I467" s="53">
        <v>884</v>
      </c>
      <c r="J467" s="39" t="s">
        <v>33</v>
      </c>
      <c r="K467" s="39" t="s">
        <v>851</v>
      </c>
      <c r="L467" s="39"/>
      <c r="M467" s="37">
        <v>43162</v>
      </c>
      <c r="N467" s="39">
        <v>5.62</v>
      </c>
      <c r="O467" s="40">
        <v>1012</v>
      </c>
    </row>
    <row r="468" spans="1:19" x14ac:dyDescent="0.55000000000000004">
      <c r="A468" s="24" t="str">
        <f>IF(COUNTIF(B468:$B$5014,B468)&gt;1,IF(COUNTIF($B$5:B468,B468)&gt;1,"",B468&amp;"-I"),B468)</f>
        <v/>
      </c>
      <c r="B468" s="29">
        <f t="shared" si="7"/>
        <v>959</v>
      </c>
      <c r="C468" s="36" t="s">
        <v>484</v>
      </c>
      <c r="D468" s="53">
        <v>628</v>
      </c>
      <c r="E468" s="53" t="s">
        <v>833</v>
      </c>
      <c r="F468" s="53" t="s">
        <v>12</v>
      </c>
      <c r="G468" s="54">
        <v>42892</v>
      </c>
      <c r="H468" s="53" t="s">
        <v>26</v>
      </c>
      <c r="I468" s="53">
        <v>959</v>
      </c>
      <c r="J468" s="39" t="s">
        <v>33</v>
      </c>
      <c r="K468" s="39" t="s">
        <v>851</v>
      </c>
      <c r="L468" s="39"/>
      <c r="M468" s="37">
        <v>43162</v>
      </c>
      <c r="N468" s="39">
        <v>5.01</v>
      </c>
      <c r="O468" s="40">
        <v>852</v>
      </c>
    </row>
    <row r="469" spans="1:19" x14ac:dyDescent="0.55000000000000004">
      <c r="A469" s="24" t="str">
        <f>IF(COUNTIF(B469:$B$5014,B469)&gt;1,IF(COUNTIF($B$5:B469,B469)&gt;1,"",B469&amp;"-I"),B469)</f>
        <v/>
      </c>
      <c r="B469" s="29">
        <f t="shared" si="7"/>
        <v>981</v>
      </c>
      <c r="C469" s="36" t="s">
        <v>485</v>
      </c>
      <c r="D469" s="53">
        <v>629</v>
      </c>
      <c r="E469" s="53" t="s">
        <v>833</v>
      </c>
      <c r="F469" s="53" t="s">
        <v>11</v>
      </c>
      <c r="G469" s="54">
        <v>42893</v>
      </c>
      <c r="H469" s="53" t="s">
        <v>26</v>
      </c>
      <c r="I469" s="53">
        <v>981</v>
      </c>
      <c r="J469" s="39" t="s">
        <v>33</v>
      </c>
      <c r="K469" s="39" t="s">
        <v>851</v>
      </c>
      <c r="L469" s="39"/>
      <c r="M469" s="37">
        <v>43162</v>
      </c>
      <c r="N469" s="39">
        <v>5.62</v>
      </c>
      <c r="O469" s="40">
        <v>1012</v>
      </c>
    </row>
    <row r="470" spans="1:19" x14ac:dyDescent="0.55000000000000004">
      <c r="A470" s="24" t="str">
        <f>IF(COUNTIF(B470:$B$5014,B470)&gt;1,IF(COUNTIF($B$5:B470,B470)&gt;1,"",B470&amp;"-I"),B470)</f>
        <v/>
      </c>
      <c r="B470" s="29">
        <f t="shared" si="7"/>
        <v>860</v>
      </c>
      <c r="C470" s="36" t="s">
        <v>486</v>
      </c>
      <c r="D470" s="53">
        <v>630</v>
      </c>
      <c r="E470" s="53" t="s">
        <v>833</v>
      </c>
      <c r="F470" s="53" t="s">
        <v>11</v>
      </c>
      <c r="G470" s="54">
        <v>42900</v>
      </c>
      <c r="H470" s="53" t="s">
        <v>26</v>
      </c>
      <c r="I470" s="53">
        <v>860</v>
      </c>
      <c r="J470" s="39" t="s">
        <v>33</v>
      </c>
      <c r="K470" s="39" t="s">
        <v>851</v>
      </c>
      <c r="L470" s="39"/>
      <c r="M470" s="37">
        <v>43162</v>
      </c>
      <c r="N470" s="39">
        <v>5.62</v>
      </c>
      <c r="O470" s="40">
        <v>1012</v>
      </c>
    </row>
    <row r="471" spans="1:19" x14ac:dyDescent="0.55000000000000004">
      <c r="A471" s="24" t="str">
        <f>IF(COUNTIF(B471:$B$5014,B471)&gt;1,IF(COUNTIF($B$5:B471,B471)&gt;1,"",B471&amp;"-I"),B471)</f>
        <v/>
      </c>
      <c r="B471" s="29">
        <f t="shared" si="7"/>
        <v>979</v>
      </c>
      <c r="C471" s="36" t="s">
        <v>487</v>
      </c>
      <c r="D471" s="53">
        <v>631</v>
      </c>
      <c r="E471" s="53" t="s">
        <v>833</v>
      </c>
      <c r="F471" s="53" t="s">
        <v>11</v>
      </c>
      <c r="G471" s="54">
        <v>42902</v>
      </c>
      <c r="H471" s="53" t="s">
        <v>26</v>
      </c>
      <c r="I471" s="53">
        <v>979</v>
      </c>
      <c r="J471" s="39" t="s">
        <v>33</v>
      </c>
      <c r="K471" s="39" t="s">
        <v>851</v>
      </c>
      <c r="L471" s="39"/>
      <c r="M471" s="37">
        <v>43162</v>
      </c>
      <c r="N471" s="39">
        <v>5.62</v>
      </c>
      <c r="O471" s="40">
        <v>1012</v>
      </c>
    </row>
    <row r="472" spans="1:19" x14ac:dyDescent="0.55000000000000004">
      <c r="A472" s="24" t="str">
        <f>IF(COUNTIF(B472:$B$5014,B472)&gt;1,IF(COUNTIF($B$5:B472,B472)&gt;1,"",B472&amp;"-I"),B472)</f>
        <v/>
      </c>
      <c r="B472" s="29">
        <f t="shared" si="7"/>
        <v>983</v>
      </c>
      <c r="C472" s="36" t="s">
        <v>488</v>
      </c>
      <c r="D472" s="53">
        <v>632</v>
      </c>
      <c r="E472" s="53" t="s">
        <v>833</v>
      </c>
      <c r="F472" s="53" t="s">
        <v>11</v>
      </c>
      <c r="G472" s="54">
        <v>42902</v>
      </c>
      <c r="H472" s="53" t="s">
        <v>26</v>
      </c>
      <c r="I472" s="53">
        <v>983</v>
      </c>
      <c r="J472" s="39" t="s">
        <v>33</v>
      </c>
      <c r="K472" s="39" t="s">
        <v>851</v>
      </c>
      <c r="L472" s="39"/>
      <c r="M472" s="37">
        <v>43162</v>
      </c>
      <c r="N472" s="39">
        <v>5.62</v>
      </c>
      <c r="O472" s="40">
        <v>1012</v>
      </c>
      <c r="P472" s="100" t="s">
        <v>913</v>
      </c>
    </row>
    <row r="473" spans="1:19" x14ac:dyDescent="0.55000000000000004">
      <c r="A473" s="24" t="str">
        <f>IF(COUNTIF(B473:$B$5014,B473)&gt;1,IF(COUNTIF($B$5:B473,B473)&gt;1,"",B473&amp;"-I"),B473)</f>
        <v/>
      </c>
      <c r="B473" s="29">
        <f t="shared" si="7"/>
        <v>874</v>
      </c>
      <c r="C473" s="36" t="s">
        <v>489</v>
      </c>
      <c r="D473" s="53">
        <v>633</v>
      </c>
      <c r="E473" s="53" t="s">
        <v>833</v>
      </c>
      <c r="F473" s="53" t="s">
        <v>11</v>
      </c>
      <c r="G473" s="54">
        <v>42911</v>
      </c>
      <c r="H473" s="53" t="s">
        <v>26</v>
      </c>
      <c r="I473" s="53">
        <v>874</v>
      </c>
      <c r="J473" s="39" t="s">
        <v>33</v>
      </c>
      <c r="K473" s="39" t="s">
        <v>851</v>
      </c>
      <c r="L473" s="39"/>
      <c r="M473" s="37">
        <v>43162</v>
      </c>
      <c r="N473" s="39">
        <v>5.62</v>
      </c>
      <c r="O473" s="40">
        <v>1012</v>
      </c>
    </row>
    <row r="474" spans="1:19" x14ac:dyDescent="0.55000000000000004">
      <c r="A474" s="24" t="str">
        <f>IF(COUNTIF(B474:$B$5014,B474)&gt;1,IF(COUNTIF($B$5:B474,B474)&gt;1,"",B474&amp;"-I"),B474)</f>
        <v/>
      </c>
      <c r="B474" s="29">
        <f t="shared" si="7"/>
        <v>871</v>
      </c>
      <c r="C474" s="36" t="s">
        <v>490</v>
      </c>
      <c r="D474" s="53">
        <v>634</v>
      </c>
      <c r="E474" s="53" t="s">
        <v>834</v>
      </c>
      <c r="F474" s="53" t="s">
        <v>11</v>
      </c>
      <c r="G474" s="54">
        <v>42912</v>
      </c>
      <c r="H474" s="53">
        <v>1055</v>
      </c>
      <c r="I474" s="53">
        <v>871</v>
      </c>
      <c r="J474" s="39" t="s">
        <v>33</v>
      </c>
      <c r="K474" s="39" t="s">
        <v>851</v>
      </c>
      <c r="L474" s="39"/>
      <c r="M474" s="37">
        <v>43162</v>
      </c>
      <c r="N474" s="39">
        <v>5.62</v>
      </c>
      <c r="O474" s="40">
        <v>1012</v>
      </c>
    </row>
    <row r="475" spans="1:19" x14ac:dyDescent="0.55000000000000004">
      <c r="A475" s="24" t="str">
        <f>IF(COUNTIF(B475:$B$5014,B475)&gt;1,IF(COUNTIF($B$5:B475,B475)&gt;1,"",B475&amp;"-I"),B475)</f>
        <v/>
      </c>
      <c r="B475" s="29">
        <f t="shared" si="7"/>
        <v>987</v>
      </c>
      <c r="C475" s="36" t="s">
        <v>491</v>
      </c>
      <c r="D475" s="53">
        <v>635</v>
      </c>
      <c r="E475" s="53" t="s">
        <v>833</v>
      </c>
      <c r="F475" s="53" t="s">
        <v>12</v>
      </c>
      <c r="G475" s="54">
        <v>42912</v>
      </c>
      <c r="H475" s="53" t="s">
        <v>26</v>
      </c>
      <c r="I475" s="53">
        <v>987</v>
      </c>
      <c r="J475" s="39" t="s">
        <v>33</v>
      </c>
      <c r="K475" s="39" t="s">
        <v>851</v>
      </c>
      <c r="L475" s="39"/>
      <c r="M475" s="37">
        <v>43162</v>
      </c>
      <c r="N475" s="39">
        <v>5.01</v>
      </c>
      <c r="O475" s="40">
        <v>852</v>
      </c>
    </row>
    <row r="476" spans="1:19" x14ac:dyDescent="0.55000000000000004">
      <c r="A476" s="24" t="str">
        <f>IF(COUNTIF(B476:$B$5014,B476)&gt;1,IF(COUNTIF($B$5:B476,B476)&gt;1,"",B476&amp;"-I"),B476)</f>
        <v/>
      </c>
      <c r="B476" s="29">
        <f t="shared" si="7"/>
        <v>950</v>
      </c>
      <c r="C476" s="36" t="s">
        <v>492</v>
      </c>
      <c r="D476" s="53">
        <v>636</v>
      </c>
      <c r="E476" s="53" t="s">
        <v>834</v>
      </c>
      <c r="F476" s="53" t="s">
        <v>12</v>
      </c>
      <c r="G476" s="54">
        <v>42914</v>
      </c>
      <c r="H476" s="53">
        <v>1055</v>
      </c>
      <c r="I476" s="53">
        <v>950</v>
      </c>
      <c r="J476" s="39" t="s">
        <v>33</v>
      </c>
      <c r="K476" s="39" t="s">
        <v>851</v>
      </c>
      <c r="L476" s="39"/>
      <c r="M476" s="37">
        <v>43162</v>
      </c>
      <c r="N476" s="39">
        <v>5.01</v>
      </c>
      <c r="O476" s="40">
        <v>852</v>
      </c>
    </row>
    <row r="477" spans="1:19" x14ac:dyDescent="0.55000000000000004">
      <c r="A477" s="24" t="str">
        <f>IF(COUNTIF(B477:$B$5014,B477)&gt;1,IF(COUNTIF($B$5:B477,B477)&gt;1,"",B477&amp;"-I"),B477)</f>
        <v/>
      </c>
      <c r="B477" s="29">
        <f t="shared" si="7"/>
        <v>993</v>
      </c>
      <c r="C477" s="36" t="s">
        <v>493</v>
      </c>
      <c r="D477" s="53">
        <v>637</v>
      </c>
      <c r="E477" s="53" t="s">
        <v>833</v>
      </c>
      <c r="F477" s="53" t="s">
        <v>11</v>
      </c>
      <c r="G477" s="54">
        <v>42915</v>
      </c>
      <c r="H477" s="53" t="s">
        <v>26</v>
      </c>
      <c r="I477" s="53">
        <v>993</v>
      </c>
      <c r="J477" s="39" t="s">
        <v>33</v>
      </c>
      <c r="K477" s="39" t="s">
        <v>851</v>
      </c>
      <c r="L477" s="39"/>
      <c r="M477" s="37">
        <v>43162</v>
      </c>
      <c r="N477" s="39">
        <v>5.62</v>
      </c>
      <c r="O477" s="40">
        <v>1012</v>
      </c>
    </row>
    <row r="478" spans="1:19" x14ac:dyDescent="0.55000000000000004">
      <c r="A478" s="24" t="str">
        <f>IF(COUNTIF(B478:$B$5014,B478)&gt;1,IF(COUNTIF($B$5:B478,B478)&gt;1,"",B478&amp;"-I"),B478)</f>
        <v/>
      </c>
      <c r="B478" s="29">
        <f t="shared" si="7"/>
        <v>991</v>
      </c>
      <c r="C478" s="36" t="s">
        <v>494</v>
      </c>
      <c r="D478" s="53">
        <v>638</v>
      </c>
      <c r="E478" s="53" t="s">
        <v>834</v>
      </c>
      <c r="F478" s="53" t="s">
        <v>11</v>
      </c>
      <c r="G478" s="54">
        <v>42915</v>
      </c>
      <c r="H478" s="53" t="s">
        <v>26</v>
      </c>
      <c r="I478" s="53">
        <v>991</v>
      </c>
      <c r="J478" s="39" t="s">
        <v>33</v>
      </c>
      <c r="K478" s="39" t="s">
        <v>851</v>
      </c>
      <c r="L478" s="39"/>
      <c r="M478" s="37">
        <v>43162</v>
      </c>
      <c r="N478" s="39">
        <v>5.62</v>
      </c>
      <c r="O478" s="40">
        <v>1012</v>
      </c>
      <c r="S478" s="65"/>
    </row>
    <row r="479" spans="1:19" x14ac:dyDescent="0.55000000000000004">
      <c r="A479" s="24" t="str">
        <f>IF(COUNTIF(B479:$B$5014,B479)&gt;1,IF(COUNTIF($B$5:B479,B479)&gt;1,"",B479&amp;"-I"),B479)</f>
        <v/>
      </c>
      <c r="B479" s="29">
        <f t="shared" si="7"/>
        <v>936</v>
      </c>
      <c r="C479" s="36" t="s">
        <v>495</v>
      </c>
      <c r="D479" s="53">
        <v>639</v>
      </c>
      <c r="E479" s="53" t="s">
        <v>834</v>
      </c>
      <c r="F479" s="53" t="s">
        <v>12</v>
      </c>
      <c r="G479" s="54">
        <v>42920</v>
      </c>
      <c r="H479" s="53">
        <v>1055</v>
      </c>
      <c r="I479" s="53">
        <v>936</v>
      </c>
      <c r="J479" s="39" t="s">
        <v>33</v>
      </c>
      <c r="K479" s="39" t="s">
        <v>851</v>
      </c>
      <c r="L479" s="39"/>
      <c r="M479" s="37">
        <v>43162</v>
      </c>
      <c r="N479" s="39">
        <v>5.01</v>
      </c>
      <c r="O479" s="40">
        <v>852</v>
      </c>
      <c r="S479" s="66"/>
    </row>
    <row r="480" spans="1:19" x14ac:dyDescent="0.55000000000000004">
      <c r="A480" s="24" t="str">
        <f>IF(COUNTIF(B480:$B$5014,B480)&gt;1,IF(COUNTIF($B$5:B480,B480)&gt;1,"",B480&amp;"-I"),B480)</f>
        <v/>
      </c>
      <c r="B480" s="29">
        <f t="shared" si="7"/>
        <v>964</v>
      </c>
      <c r="C480" s="85" t="s">
        <v>496</v>
      </c>
      <c r="D480" s="72">
        <v>640</v>
      </c>
      <c r="E480" s="72" t="s">
        <v>834</v>
      </c>
      <c r="F480" s="72" t="s">
        <v>11</v>
      </c>
      <c r="G480" s="86">
        <v>42920</v>
      </c>
      <c r="H480" s="72">
        <v>1055</v>
      </c>
      <c r="I480" s="72">
        <v>964</v>
      </c>
      <c r="J480" s="47" t="s">
        <v>33</v>
      </c>
      <c r="K480" s="47" t="s">
        <v>1157</v>
      </c>
      <c r="L480" s="39" t="s">
        <v>852</v>
      </c>
      <c r="M480" s="87">
        <v>42995</v>
      </c>
      <c r="N480" s="47" t="s">
        <v>864</v>
      </c>
      <c r="O480" s="50" t="s">
        <v>864</v>
      </c>
      <c r="S480" s="67"/>
    </row>
    <row r="481" spans="1:19" x14ac:dyDescent="0.55000000000000004">
      <c r="A481" s="24" t="str">
        <f>IF(COUNTIF(B481:$B$5014,B481)&gt;1,IF(COUNTIF($B$5:B481,B481)&gt;1,"",B481&amp;"-I"),B481)</f>
        <v/>
      </c>
      <c r="B481" s="29">
        <f t="shared" si="7"/>
        <v>865</v>
      </c>
      <c r="C481" s="36" t="s">
        <v>497</v>
      </c>
      <c r="D481" s="53">
        <v>641</v>
      </c>
      <c r="E481" s="53" t="s">
        <v>833</v>
      </c>
      <c r="F481" s="53" t="s">
        <v>11</v>
      </c>
      <c r="G481" s="54">
        <v>42923</v>
      </c>
      <c r="H481" s="53">
        <v>1055</v>
      </c>
      <c r="I481" s="53">
        <v>865</v>
      </c>
      <c r="J481" s="39" t="s">
        <v>33</v>
      </c>
      <c r="K481" s="39" t="s">
        <v>851</v>
      </c>
      <c r="L481" s="39"/>
      <c r="M481" s="37">
        <v>43162</v>
      </c>
      <c r="N481" s="39">
        <v>5.62</v>
      </c>
      <c r="O481" s="40">
        <v>1012</v>
      </c>
      <c r="S481" s="66"/>
    </row>
    <row r="482" spans="1:19" x14ac:dyDescent="0.55000000000000004">
      <c r="A482" s="24" t="str">
        <f>IF(COUNTIF(B482:$B$5014,B482)&gt;1,IF(COUNTIF($B$5:B482,B482)&gt;1,"",B482&amp;"-I"),B482)</f>
        <v/>
      </c>
      <c r="B482" s="29">
        <f t="shared" si="7"/>
        <v>958</v>
      </c>
      <c r="C482" s="36" t="s">
        <v>498</v>
      </c>
      <c r="D482" s="53">
        <v>642</v>
      </c>
      <c r="E482" s="53" t="s">
        <v>833</v>
      </c>
      <c r="F482" s="53" t="s">
        <v>12</v>
      </c>
      <c r="G482" s="54">
        <v>42925</v>
      </c>
      <c r="H482" s="53">
        <v>1043</v>
      </c>
      <c r="I482" s="53">
        <v>958</v>
      </c>
      <c r="J482" s="39" t="s">
        <v>33</v>
      </c>
      <c r="K482" s="39" t="s">
        <v>851</v>
      </c>
      <c r="L482" s="39"/>
      <c r="M482" s="37">
        <v>43162</v>
      </c>
      <c r="N482" s="39">
        <v>5.01</v>
      </c>
      <c r="O482" s="40">
        <v>852</v>
      </c>
      <c r="S482" s="67"/>
    </row>
    <row r="483" spans="1:19" x14ac:dyDescent="0.55000000000000004">
      <c r="A483" s="24" t="str">
        <f>IF(COUNTIF(B483:$B$5014,B483)&gt;1,IF(COUNTIF($B$5:B483,B483)&gt;1,"",B483&amp;"-I"),B483)</f>
        <v/>
      </c>
      <c r="B483" s="29">
        <f t="shared" si="7"/>
        <v>931</v>
      </c>
      <c r="C483" s="36" t="s">
        <v>499</v>
      </c>
      <c r="D483" s="53">
        <v>643</v>
      </c>
      <c r="E483" s="53" t="s">
        <v>834</v>
      </c>
      <c r="F483" s="53" t="s">
        <v>12</v>
      </c>
      <c r="G483" s="54">
        <v>42938</v>
      </c>
      <c r="H483" s="53">
        <v>1055</v>
      </c>
      <c r="I483" s="53">
        <v>931</v>
      </c>
      <c r="J483" s="39" t="s">
        <v>33</v>
      </c>
      <c r="K483" s="39" t="s">
        <v>851</v>
      </c>
      <c r="L483" s="39"/>
      <c r="M483" s="37">
        <v>43162</v>
      </c>
      <c r="N483" s="39">
        <v>5.01</v>
      </c>
      <c r="O483" s="40">
        <v>852</v>
      </c>
      <c r="S483" s="66"/>
    </row>
    <row r="484" spans="1:19" x14ac:dyDescent="0.55000000000000004">
      <c r="A484" s="24" t="str">
        <f>IF(COUNTIF(B484:$B$5014,B484)&gt;1,IF(COUNTIF($B$5:B484,B484)&gt;1,"",B484&amp;"-I"),B484)</f>
        <v/>
      </c>
      <c r="B484" s="29">
        <f t="shared" si="7"/>
        <v>889</v>
      </c>
      <c r="C484" s="36" t="s">
        <v>500</v>
      </c>
      <c r="D484" s="53">
        <v>644</v>
      </c>
      <c r="E484" s="53" t="s">
        <v>834</v>
      </c>
      <c r="F484" s="53" t="s">
        <v>11</v>
      </c>
      <c r="G484" s="54">
        <v>42938</v>
      </c>
      <c r="H484" s="53">
        <v>1055</v>
      </c>
      <c r="I484" s="53">
        <v>889</v>
      </c>
      <c r="J484" s="39" t="s">
        <v>33</v>
      </c>
      <c r="K484" s="39" t="s">
        <v>851</v>
      </c>
      <c r="L484" s="39"/>
      <c r="M484" s="37">
        <v>43162</v>
      </c>
      <c r="N484" s="39">
        <v>5.62</v>
      </c>
      <c r="O484" s="40">
        <v>1012</v>
      </c>
      <c r="S484" s="67"/>
    </row>
    <row r="485" spans="1:19" x14ac:dyDescent="0.55000000000000004">
      <c r="A485" s="24" t="str">
        <f>IF(COUNTIF(B485:$B$5014,B485)&gt;1,IF(COUNTIF($B$5:B485,B485)&gt;1,"",B485&amp;"-I"),B485)</f>
        <v/>
      </c>
      <c r="B485" s="29">
        <f t="shared" si="7"/>
        <v>947</v>
      </c>
      <c r="C485" s="36" t="s">
        <v>501</v>
      </c>
      <c r="D485" s="53">
        <v>645</v>
      </c>
      <c r="E485" s="53" t="s">
        <v>834</v>
      </c>
      <c r="F485" s="53" t="s">
        <v>11</v>
      </c>
      <c r="G485" s="54">
        <v>42940</v>
      </c>
      <c r="H485" s="53">
        <v>1043</v>
      </c>
      <c r="I485" s="53">
        <v>947</v>
      </c>
      <c r="J485" s="39" t="s">
        <v>33</v>
      </c>
      <c r="K485" s="39" t="s">
        <v>851</v>
      </c>
      <c r="L485" s="39"/>
      <c r="M485" s="37">
        <v>43162</v>
      </c>
      <c r="N485" s="39">
        <v>5.62</v>
      </c>
      <c r="O485" s="40">
        <v>1012</v>
      </c>
      <c r="S485" s="66"/>
    </row>
    <row r="486" spans="1:19" x14ac:dyDescent="0.55000000000000004">
      <c r="A486" s="24" t="str">
        <f>IF(COUNTIF(B486:$B$5014,B486)&gt;1,IF(COUNTIF($B$5:B486,B486)&gt;1,"",B486&amp;"-I"),B486)</f>
        <v/>
      </c>
      <c r="B486" s="29">
        <f t="shared" si="7"/>
        <v>976</v>
      </c>
      <c r="C486" s="36" t="s">
        <v>502</v>
      </c>
      <c r="D486" s="53">
        <v>646</v>
      </c>
      <c r="E486" s="53" t="s">
        <v>833</v>
      </c>
      <c r="F486" s="53" t="s">
        <v>11</v>
      </c>
      <c r="G486" s="54">
        <v>42941</v>
      </c>
      <c r="H486" s="53" t="s">
        <v>26</v>
      </c>
      <c r="I486" s="53">
        <v>976</v>
      </c>
      <c r="J486" s="39" t="s">
        <v>33</v>
      </c>
      <c r="K486" s="39" t="s">
        <v>851</v>
      </c>
      <c r="L486" s="39"/>
      <c r="M486" s="37">
        <v>43162</v>
      </c>
      <c r="N486" s="39">
        <v>5.62</v>
      </c>
      <c r="O486" s="40">
        <v>1012</v>
      </c>
      <c r="S486" s="67"/>
    </row>
    <row r="487" spans="1:19" x14ac:dyDescent="0.55000000000000004">
      <c r="A487" s="24" t="str">
        <f>IF(COUNTIF(B487:$B$5014,B487)&gt;1,IF(COUNTIF($B$5:B487,B487)&gt;1,"",B487&amp;"-I"),B487)</f>
        <v/>
      </c>
      <c r="B487" s="29">
        <f t="shared" si="7"/>
        <v>873</v>
      </c>
      <c r="C487" s="36" t="s">
        <v>503</v>
      </c>
      <c r="D487" s="53">
        <v>647</v>
      </c>
      <c r="E487" s="53" t="s">
        <v>833</v>
      </c>
      <c r="F487" s="53" t="s">
        <v>12</v>
      </c>
      <c r="G487" s="54">
        <v>42946</v>
      </c>
      <c r="H487" s="53">
        <v>1043</v>
      </c>
      <c r="I487" s="53">
        <v>873</v>
      </c>
      <c r="J487" s="39" t="s">
        <v>33</v>
      </c>
      <c r="K487" s="39" t="s">
        <v>851</v>
      </c>
      <c r="L487" s="39"/>
      <c r="M487" s="37">
        <v>43162</v>
      </c>
      <c r="N487" s="39">
        <v>5.01</v>
      </c>
      <c r="O487" s="40">
        <v>852</v>
      </c>
      <c r="S487" s="66"/>
    </row>
    <row r="488" spans="1:19" x14ac:dyDescent="0.55000000000000004">
      <c r="A488" s="24" t="str">
        <f>IF(COUNTIF(B488:$B$5014,B488)&gt;1,IF(COUNTIF($B$5:B488,B488)&gt;1,"",B488&amp;"-I"),B488)</f>
        <v/>
      </c>
      <c r="B488" s="29">
        <f t="shared" si="7"/>
        <v>862</v>
      </c>
      <c r="C488" s="36" t="s">
        <v>504</v>
      </c>
      <c r="D488" s="53">
        <v>648</v>
      </c>
      <c r="E488" s="53" t="s">
        <v>833</v>
      </c>
      <c r="F488" s="53" t="s">
        <v>12</v>
      </c>
      <c r="G488" s="54">
        <v>42947</v>
      </c>
      <c r="H488" s="53">
        <v>1043</v>
      </c>
      <c r="I488" s="53">
        <v>862</v>
      </c>
      <c r="J488" s="39" t="s">
        <v>33</v>
      </c>
      <c r="K488" s="39" t="s">
        <v>851</v>
      </c>
      <c r="L488" s="39"/>
      <c r="M488" s="37">
        <v>43162</v>
      </c>
      <c r="N488" s="39">
        <v>5.01</v>
      </c>
      <c r="O488" s="40">
        <v>852</v>
      </c>
      <c r="S488" s="67"/>
    </row>
    <row r="489" spans="1:19" x14ac:dyDescent="0.55000000000000004">
      <c r="A489" s="24" t="str">
        <f>IF(COUNTIF(B489:$B$5014,B489)&gt;1,IF(COUNTIF($B$5:B489,B489)&gt;1,"",B489&amp;"-I"),B489)</f>
        <v/>
      </c>
      <c r="B489" s="29">
        <f t="shared" si="7"/>
        <v>963</v>
      </c>
      <c r="C489" s="36" t="s">
        <v>505</v>
      </c>
      <c r="D489" s="53">
        <v>649</v>
      </c>
      <c r="E489" s="53" t="s">
        <v>833</v>
      </c>
      <c r="F489" s="53" t="s">
        <v>12</v>
      </c>
      <c r="G489" s="54">
        <v>42947</v>
      </c>
      <c r="H489" s="53">
        <v>1043</v>
      </c>
      <c r="I489" s="53">
        <v>963</v>
      </c>
      <c r="J489" s="39" t="s">
        <v>33</v>
      </c>
      <c r="K489" s="39" t="s">
        <v>851</v>
      </c>
      <c r="L489" s="39"/>
      <c r="M489" s="37">
        <v>43162</v>
      </c>
      <c r="N489" s="39">
        <v>5.01</v>
      </c>
      <c r="O489" s="40">
        <v>852</v>
      </c>
      <c r="S489" s="66"/>
    </row>
    <row r="490" spans="1:19" x14ac:dyDescent="0.55000000000000004">
      <c r="A490" s="24" t="str">
        <f>IF(COUNTIF(B490:$B$5014,B490)&gt;1,IF(COUNTIF($B$5:B490,B490)&gt;1,"",B490&amp;"-I"),B490)</f>
        <v/>
      </c>
      <c r="B490" s="29">
        <f t="shared" si="7"/>
        <v>881</v>
      </c>
      <c r="C490" s="36" t="s">
        <v>506</v>
      </c>
      <c r="D490" s="53">
        <v>650</v>
      </c>
      <c r="E490" s="53" t="s">
        <v>834</v>
      </c>
      <c r="F490" s="53" t="s">
        <v>12</v>
      </c>
      <c r="G490" s="54">
        <v>42951</v>
      </c>
      <c r="H490" s="53">
        <v>1043</v>
      </c>
      <c r="I490" s="53">
        <v>881</v>
      </c>
      <c r="J490" s="39" t="s">
        <v>33</v>
      </c>
      <c r="K490" s="39" t="s">
        <v>851</v>
      </c>
      <c r="L490" s="39"/>
      <c r="M490" s="37">
        <v>43162</v>
      </c>
      <c r="N490" s="39">
        <v>5.01</v>
      </c>
      <c r="O490" s="40">
        <v>852</v>
      </c>
      <c r="S490" s="67"/>
    </row>
    <row r="491" spans="1:19" x14ac:dyDescent="0.55000000000000004">
      <c r="A491" s="24" t="str">
        <f>IF(COUNTIF(B491:$B$5014,B491)&gt;1,IF(COUNTIF($B$5:B491,B491)&gt;1,"",B491&amp;"-I"),B491)</f>
        <v/>
      </c>
      <c r="B491" s="29">
        <f t="shared" si="7"/>
        <v>890</v>
      </c>
      <c r="C491" s="36" t="s">
        <v>507</v>
      </c>
      <c r="D491" s="53">
        <v>651</v>
      </c>
      <c r="E491" s="53" t="s">
        <v>833</v>
      </c>
      <c r="F491" s="53" t="s">
        <v>12</v>
      </c>
      <c r="G491" s="54">
        <v>42954</v>
      </c>
      <c r="H491" s="53">
        <v>1043</v>
      </c>
      <c r="I491" s="53">
        <v>890</v>
      </c>
      <c r="J491" s="39" t="s">
        <v>33</v>
      </c>
      <c r="K491" s="39" t="s">
        <v>851</v>
      </c>
      <c r="L491" s="39"/>
      <c r="M491" s="37">
        <v>43162</v>
      </c>
      <c r="N491" s="39">
        <v>5.01</v>
      </c>
      <c r="O491" s="40">
        <v>852</v>
      </c>
      <c r="S491" s="66"/>
    </row>
    <row r="492" spans="1:19" x14ac:dyDescent="0.55000000000000004">
      <c r="A492" s="24" t="str">
        <f>IF(COUNTIF(B492:$B$5014,B492)&gt;1,IF(COUNTIF($B$5:B492,B492)&gt;1,"",B492&amp;"-I"),B492)</f>
        <v/>
      </c>
      <c r="B492" s="29">
        <f t="shared" si="7"/>
        <v>893</v>
      </c>
      <c r="C492" s="36" t="s">
        <v>508</v>
      </c>
      <c r="D492" s="53">
        <v>652</v>
      </c>
      <c r="E492" s="53" t="s">
        <v>833</v>
      </c>
      <c r="F492" s="53" t="s">
        <v>12</v>
      </c>
      <c r="G492" s="54">
        <v>42960</v>
      </c>
      <c r="H492" s="53">
        <v>1055</v>
      </c>
      <c r="I492" s="53">
        <v>893</v>
      </c>
      <c r="J492" s="39" t="s">
        <v>33</v>
      </c>
      <c r="K492" s="39" t="s">
        <v>851</v>
      </c>
      <c r="L492" s="39"/>
      <c r="M492" s="37">
        <v>43162</v>
      </c>
      <c r="N492" s="39">
        <v>5.01</v>
      </c>
      <c r="O492" s="40">
        <v>852</v>
      </c>
      <c r="S492" s="67"/>
    </row>
    <row r="493" spans="1:19" x14ac:dyDescent="0.55000000000000004">
      <c r="A493" s="24" t="str">
        <f>IF(COUNTIF(B493:$B$5014,B493)&gt;1,IF(COUNTIF($B$5:B493,B493)&gt;1,"",B493&amp;"-I"),B493)</f>
        <v/>
      </c>
      <c r="B493" s="29">
        <f t="shared" si="7"/>
        <v>966</v>
      </c>
      <c r="C493" s="36" t="s">
        <v>509</v>
      </c>
      <c r="D493" s="53">
        <v>653</v>
      </c>
      <c r="E493" s="53" t="s">
        <v>833</v>
      </c>
      <c r="F493" s="53" t="s">
        <v>12</v>
      </c>
      <c r="G493" s="54">
        <v>42961</v>
      </c>
      <c r="H493" s="53">
        <v>1043</v>
      </c>
      <c r="I493" s="53">
        <v>966</v>
      </c>
      <c r="J493" s="39" t="s">
        <v>33</v>
      </c>
      <c r="K493" s="39" t="s">
        <v>851</v>
      </c>
      <c r="L493" s="39"/>
      <c r="M493" s="37">
        <v>43162</v>
      </c>
      <c r="N493" s="39">
        <v>5.01</v>
      </c>
      <c r="O493" s="40">
        <v>852</v>
      </c>
      <c r="S493" s="66"/>
    </row>
    <row r="494" spans="1:19" x14ac:dyDescent="0.55000000000000004">
      <c r="A494" s="24" t="str">
        <f>IF(COUNTIF(B494:$B$5014,B494)&gt;1,IF(COUNTIF($B$5:B494,B494)&gt;1,"",B494&amp;"-I"),B494)</f>
        <v/>
      </c>
      <c r="B494" s="29">
        <f t="shared" si="7"/>
        <v>930</v>
      </c>
      <c r="C494" s="36" t="s">
        <v>510</v>
      </c>
      <c r="D494" s="53">
        <v>654</v>
      </c>
      <c r="E494" s="53" t="s">
        <v>834</v>
      </c>
      <c r="F494" s="53" t="s">
        <v>11</v>
      </c>
      <c r="G494" s="54">
        <v>42964</v>
      </c>
      <c r="H494" s="53">
        <v>1043</v>
      </c>
      <c r="I494" s="53">
        <v>930</v>
      </c>
      <c r="J494" s="39" t="s">
        <v>33</v>
      </c>
      <c r="K494" s="39" t="s">
        <v>851</v>
      </c>
      <c r="L494" s="39"/>
      <c r="M494" s="37">
        <v>43162</v>
      </c>
      <c r="N494" s="39">
        <v>5.62</v>
      </c>
      <c r="O494" s="40">
        <v>1012</v>
      </c>
      <c r="S494" s="67"/>
    </row>
    <row r="495" spans="1:19" x14ac:dyDescent="0.55000000000000004">
      <c r="A495" s="24" t="str">
        <f>IF(COUNTIF(B495:$B$5014,B495)&gt;1,IF(COUNTIF($B$5:B495,B495)&gt;1,"",B495&amp;"-I"),B495)</f>
        <v/>
      </c>
      <c r="B495" s="29">
        <f t="shared" si="7"/>
        <v>985</v>
      </c>
      <c r="C495" s="36" t="s">
        <v>511</v>
      </c>
      <c r="D495" s="53">
        <v>655</v>
      </c>
      <c r="E495" s="53" t="s">
        <v>834</v>
      </c>
      <c r="F495" s="53" t="s">
        <v>11</v>
      </c>
      <c r="G495" s="54">
        <v>42968</v>
      </c>
      <c r="H495" s="53" t="s">
        <v>26</v>
      </c>
      <c r="I495" s="53">
        <v>985</v>
      </c>
      <c r="J495" s="39" t="s">
        <v>33</v>
      </c>
      <c r="K495" s="39" t="s">
        <v>851</v>
      </c>
      <c r="L495" s="39"/>
      <c r="M495" s="37">
        <v>43162</v>
      </c>
      <c r="N495" s="39">
        <v>5.62</v>
      </c>
      <c r="O495" s="40">
        <v>1012</v>
      </c>
      <c r="S495" s="66"/>
    </row>
    <row r="496" spans="1:19" x14ac:dyDescent="0.55000000000000004">
      <c r="A496" s="24" t="str">
        <f>IF(COUNTIF(B496:$B$5014,B496)&gt;1,IF(COUNTIF($B$5:B496,B496)&gt;1,"",B496&amp;"-I"),B496)</f>
        <v/>
      </c>
      <c r="B496" s="29">
        <f t="shared" si="7"/>
        <v>992</v>
      </c>
      <c r="C496" s="36" t="s">
        <v>512</v>
      </c>
      <c r="D496" s="53">
        <v>656</v>
      </c>
      <c r="E496" s="53" t="s">
        <v>834</v>
      </c>
      <c r="F496" s="53" t="s">
        <v>12</v>
      </c>
      <c r="G496" s="54">
        <v>42969</v>
      </c>
      <c r="H496" s="53" t="s">
        <v>1119</v>
      </c>
      <c r="I496" s="53">
        <v>992</v>
      </c>
      <c r="J496" s="39" t="s">
        <v>33</v>
      </c>
      <c r="K496" s="39" t="s">
        <v>851</v>
      </c>
      <c r="L496" s="39"/>
      <c r="M496" s="37">
        <v>43162</v>
      </c>
      <c r="N496" s="39">
        <v>5.01</v>
      </c>
      <c r="O496" s="40">
        <v>852</v>
      </c>
      <c r="S496" s="67"/>
    </row>
    <row r="497" spans="1:19" x14ac:dyDescent="0.55000000000000004">
      <c r="A497" s="24" t="str">
        <f>IF(COUNTIF(B497:$B$5014,B497)&gt;1,IF(COUNTIF($B$5:B497,B497)&gt;1,"",B497&amp;"-I"),B497)</f>
        <v/>
      </c>
      <c r="B497" s="29">
        <f t="shared" si="7"/>
        <v>894</v>
      </c>
      <c r="C497" s="36" t="s">
        <v>513</v>
      </c>
      <c r="D497" s="53">
        <v>657</v>
      </c>
      <c r="E497" s="53" t="s">
        <v>833</v>
      </c>
      <c r="F497" s="53" t="s">
        <v>12</v>
      </c>
      <c r="G497" s="54">
        <v>42971</v>
      </c>
      <c r="H497" s="53" t="s">
        <v>26</v>
      </c>
      <c r="I497" s="53">
        <v>894</v>
      </c>
      <c r="J497" s="39" t="s">
        <v>33</v>
      </c>
      <c r="K497" s="39" t="s">
        <v>851</v>
      </c>
      <c r="L497" s="39"/>
      <c r="M497" s="37">
        <v>43162</v>
      </c>
      <c r="N497" s="39">
        <v>5.01</v>
      </c>
      <c r="O497" s="40">
        <v>852</v>
      </c>
      <c r="S497" s="66"/>
    </row>
    <row r="498" spans="1:19" x14ac:dyDescent="0.55000000000000004">
      <c r="A498" s="24" t="str">
        <f>IF(COUNTIF(B498:$B$5014,B498)&gt;1,IF(COUNTIF($B$5:B498,B498)&gt;1,"",B498&amp;"-I"),B498)</f>
        <v/>
      </c>
      <c r="B498" s="29">
        <f t="shared" si="7"/>
        <v>872</v>
      </c>
      <c r="C498" s="36" t="s">
        <v>514</v>
      </c>
      <c r="D498" s="53">
        <v>658</v>
      </c>
      <c r="E498" s="53" t="s">
        <v>833</v>
      </c>
      <c r="F498" s="53" t="s">
        <v>12</v>
      </c>
      <c r="G498" s="54">
        <v>42974</v>
      </c>
      <c r="H498" s="53" t="s">
        <v>26</v>
      </c>
      <c r="I498" s="53">
        <v>872</v>
      </c>
      <c r="J498" s="39" t="s">
        <v>33</v>
      </c>
      <c r="K498" s="39" t="s">
        <v>851</v>
      </c>
      <c r="L498" s="39"/>
      <c r="M498" s="37">
        <v>43162</v>
      </c>
      <c r="N498" s="39">
        <v>5.01</v>
      </c>
      <c r="O498" s="40">
        <v>852</v>
      </c>
      <c r="S498" s="67"/>
    </row>
    <row r="499" spans="1:19" x14ac:dyDescent="0.55000000000000004">
      <c r="A499" s="24" t="str">
        <f>IF(COUNTIF(B499:$B$5014,B499)&gt;1,IF(COUNTIF($B$5:B499,B499)&gt;1,"",B499&amp;"-I"),B499)</f>
        <v/>
      </c>
      <c r="B499" s="29">
        <f t="shared" si="7"/>
        <v>972</v>
      </c>
      <c r="C499" s="36" t="s">
        <v>515</v>
      </c>
      <c r="D499" s="53">
        <v>659</v>
      </c>
      <c r="E499" s="53" t="s">
        <v>833</v>
      </c>
      <c r="F499" s="53" t="s">
        <v>12</v>
      </c>
      <c r="G499" s="54">
        <v>42976</v>
      </c>
      <c r="H499" s="53" t="s">
        <v>26</v>
      </c>
      <c r="I499" s="53">
        <v>972</v>
      </c>
      <c r="J499" s="39" t="s">
        <v>33</v>
      </c>
      <c r="K499" s="39" t="s">
        <v>851</v>
      </c>
      <c r="L499" s="39"/>
      <c r="M499" s="37">
        <v>43162</v>
      </c>
      <c r="N499" s="39">
        <v>5.01</v>
      </c>
      <c r="O499" s="40">
        <v>852</v>
      </c>
      <c r="S499" s="66"/>
    </row>
    <row r="500" spans="1:19" x14ac:dyDescent="0.55000000000000004">
      <c r="A500" s="24" t="str">
        <f>IF(COUNTIF(B500:$B$5014,B500)&gt;1,IF(COUNTIF($B$5:B500,B500)&gt;1,"",B500&amp;"-I"),B500)</f>
        <v/>
      </c>
      <c r="B500" s="29">
        <f t="shared" si="7"/>
        <v>854</v>
      </c>
      <c r="C500" s="36" t="s">
        <v>516</v>
      </c>
      <c r="D500" s="53">
        <v>660</v>
      </c>
      <c r="E500" s="53" t="s">
        <v>834</v>
      </c>
      <c r="F500" s="53" t="s">
        <v>11</v>
      </c>
      <c r="G500" s="54">
        <v>42978</v>
      </c>
      <c r="H500" s="53">
        <v>1043</v>
      </c>
      <c r="I500" s="53">
        <v>854</v>
      </c>
      <c r="J500" s="39" t="s">
        <v>33</v>
      </c>
      <c r="K500" s="39" t="s">
        <v>851</v>
      </c>
      <c r="L500" s="39"/>
      <c r="M500" s="37">
        <v>43162</v>
      </c>
      <c r="N500" s="39">
        <v>5.62</v>
      </c>
      <c r="O500" s="40">
        <v>1012</v>
      </c>
      <c r="S500" s="67"/>
    </row>
    <row r="501" spans="1:19" x14ac:dyDescent="0.55000000000000004">
      <c r="A501" s="24" t="str">
        <f>IF(COUNTIF(B501:$B$5014,B501)&gt;1,IF(COUNTIF($B$5:B501,B501)&gt;1,"",B501&amp;"-I"),B501)</f>
        <v/>
      </c>
      <c r="B501" s="29">
        <f t="shared" si="7"/>
        <v>897</v>
      </c>
      <c r="C501" s="36" t="s">
        <v>517</v>
      </c>
      <c r="D501" s="53">
        <v>661</v>
      </c>
      <c r="E501" s="53" t="s">
        <v>833</v>
      </c>
      <c r="F501" s="53" t="s">
        <v>11</v>
      </c>
      <c r="G501" s="54">
        <v>42980</v>
      </c>
      <c r="H501" s="53">
        <v>1055</v>
      </c>
      <c r="I501" s="53">
        <v>897</v>
      </c>
      <c r="J501" s="39" t="s">
        <v>33</v>
      </c>
      <c r="K501" s="39" t="s">
        <v>851</v>
      </c>
      <c r="L501" s="39"/>
      <c r="M501" s="37">
        <v>43162</v>
      </c>
      <c r="N501" s="39">
        <v>5.62</v>
      </c>
      <c r="O501" s="40">
        <v>1012</v>
      </c>
      <c r="S501" s="66"/>
    </row>
    <row r="502" spans="1:19" x14ac:dyDescent="0.55000000000000004">
      <c r="A502" s="24" t="str">
        <f>IF(COUNTIF(B502:$B$5014,B502)&gt;1,IF(COUNTIF($B$5:B502,B502)&gt;1,"",B502&amp;"-I"),B502)</f>
        <v/>
      </c>
      <c r="B502" s="29">
        <f t="shared" si="7"/>
        <v>973</v>
      </c>
      <c r="C502" s="36" t="s">
        <v>518</v>
      </c>
      <c r="D502" s="53">
        <v>662</v>
      </c>
      <c r="E502" s="53" t="s">
        <v>833</v>
      </c>
      <c r="F502" s="53" t="s">
        <v>12</v>
      </c>
      <c r="G502" s="54">
        <v>42981</v>
      </c>
      <c r="H502" s="53">
        <v>1043</v>
      </c>
      <c r="I502" s="53">
        <v>973</v>
      </c>
      <c r="J502" s="39" t="s">
        <v>33</v>
      </c>
      <c r="K502" s="39" t="s">
        <v>851</v>
      </c>
      <c r="L502" s="39"/>
      <c r="M502" s="37">
        <v>43162</v>
      </c>
      <c r="N502" s="39">
        <v>5.01</v>
      </c>
      <c r="O502" s="40">
        <v>852</v>
      </c>
      <c r="S502" s="67"/>
    </row>
    <row r="503" spans="1:19" x14ac:dyDescent="0.55000000000000004">
      <c r="A503" s="24" t="str">
        <f>IF(COUNTIF(B503:$B$5014,B503)&gt;1,IF(COUNTIF($B$5:B503,B503)&gt;1,"",B503&amp;"-I"),B503)</f>
        <v/>
      </c>
      <c r="B503" s="29">
        <f t="shared" si="7"/>
        <v>969</v>
      </c>
      <c r="C503" s="36" t="s">
        <v>519</v>
      </c>
      <c r="D503" s="53">
        <v>663</v>
      </c>
      <c r="E503" s="53" t="s">
        <v>833</v>
      </c>
      <c r="F503" s="53" t="s">
        <v>12</v>
      </c>
      <c r="G503" s="54">
        <v>42987</v>
      </c>
      <c r="H503" s="53" t="s">
        <v>26</v>
      </c>
      <c r="I503" s="53">
        <v>969</v>
      </c>
      <c r="J503" s="39" t="s">
        <v>33</v>
      </c>
      <c r="K503" s="39" t="s">
        <v>851</v>
      </c>
      <c r="L503" s="39"/>
      <c r="M503" s="37">
        <v>43162</v>
      </c>
      <c r="N503" s="39">
        <v>5.01</v>
      </c>
      <c r="O503" s="40">
        <v>852</v>
      </c>
      <c r="S503" s="66"/>
    </row>
    <row r="504" spans="1:19" x14ac:dyDescent="0.55000000000000004">
      <c r="A504" s="24" t="str">
        <f>IF(COUNTIF(B504:$B$5014,B504)&gt;1,IF(COUNTIF($B$5:B504,B504)&gt;1,"",B504&amp;"-I"),B504)</f>
        <v/>
      </c>
      <c r="B504" s="29">
        <f t="shared" si="7"/>
        <v>989</v>
      </c>
      <c r="C504" s="36" t="s">
        <v>520</v>
      </c>
      <c r="D504" s="53">
        <v>664</v>
      </c>
      <c r="E504" s="53" t="s">
        <v>834</v>
      </c>
      <c r="F504" s="53" t="s">
        <v>12</v>
      </c>
      <c r="G504" s="54">
        <v>42988</v>
      </c>
      <c r="H504" s="53" t="s">
        <v>26</v>
      </c>
      <c r="I504" s="53">
        <v>989</v>
      </c>
      <c r="J504" s="39" t="s">
        <v>33</v>
      </c>
      <c r="K504" s="39" t="s">
        <v>851</v>
      </c>
      <c r="L504" s="39"/>
      <c r="M504" s="37">
        <v>43162</v>
      </c>
      <c r="N504" s="39">
        <v>5.01</v>
      </c>
      <c r="O504" s="40">
        <v>852</v>
      </c>
      <c r="S504" s="67"/>
    </row>
    <row r="505" spans="1:19" x14ac:dyDescent="0.55000000000000004">
      <c r="A505" s="24" t="str">
        <f>IF(COUNTIF(B505:$B$5014,B505)&gt;1,IF(COUNTIF($B$5:B505,B505)&gt;1,"",B505&amp;"-I"),B505)</f>
        <v/>
      </c>
      <c r="B505" s="29">
        <f t="shared" si="7"/>
        <v>870</v>
      </c>
      <c r="C505" s="36" t="s">
        <v>521</v>
      </c>
      <c r="D505" s="53">
        <v>665</v>
      </c>
      <c r="E505" s="53" t="s">
        <v>833</v>
      </c>
      <c r="F505" s="53" t="s">
        <v>11</v>
      </c>
      <c r="G505" s="54">
        <v>42992</v>
      </c>
      <c r="H505" s="53">
        <v>1043</v>
      </c>
      <c r="I505" s="53">
        <v>870</v>
      </c>
      <c r="J505" s="39" t="s">
        <v>33</v>
      </c>
      <c r="K505" s="39" t="s">
        <v>851</v>
      </c>
      <c r="L505" s="39"/>
      <c r="M505" s="37">
        <v>43162</v>
      </c>
      <c r="N505" s="39">
        <v>5.62</v>
      </c>
      <c r="O505" s="40">
        <v>1012</v>
      </c>
      <c r="S505" s="66"/>
    </row>
    <row r="506" spans="1:19" x14ac:dyDescent="0.55000000000000004">
      <c r="A506" s="24" t="str">
        <f>IF(COUNTIF(B506:$B$5014,B506)&gt;1,IF(COUNTIF($B$5:B506,B506)&gt;1,"",B506&amp;"-I"),B506)</f>
        <v/>
      </c>
      <c r="B506" s="29">
        <f t="shared" si="7"/>
        <v>988</v>
      </c>
      <c r="C506" s="36" t="s">
        <v>855</v>
      </c>
      <c r="D506" s="53">
        <v>666</v>
      </c>
      <c r="E506" s="53" t="s">
        <v>833</v>
      </c>
      <c r="F506" s="53" t="s">
        <v>11</v>
      </c>
      <c r="G506" s="54">
        <v>43012</v>
      </c>
      <c r="H506" s="53">
        <v>1043</v>
      </c>
      <c r="I506" s="53">
        <v>988</v>
      </c>
      <c r="J506" s="39" t="s">
        <v>33</v>
      </c>
      <c r="K506" s="39" t="s">
        <v>851</v>
      </c>
      <c r="L506" s="39"/>
      <c r="M506" s="37">
        <v>43162</v>
      </c>
      <c r="N506" s="39">
        <v>5.62</v>
      </c>
      <c r="O506" s="40">
        <v>1012</v>
      </c>
      <c r="P506" s="100" t="s">
        <v>913</v>
      </c>
      <c r="S506" s="67"/>
    </row>
    <row r="507" spans="1:19" x14ac:dyDescent="0.55000000000000004">
      <c r="A507" s="24" t="str">
        <f>IF(COUNTIF(B507:$B$5014,B507)&gt;1,IF(COUNTIF($B$5:B507,B507)&gt;1,"",B507&amp;"-I"),B507)</f>
        <v/>
      </c>
      <c r="B507" s="29">
        <f t="shared" si="7"/>
        <v>946</v>
      </c>
      <c r="C507" s="36" t="s">
        <v>522</v>
      </c>
      <c r="D507" s="53">
        <v>667</v>
      </c>
      <c r="E507" s="53" t="s">
        <v>834</v>
      </c>
      <c r="F507" s="53" t="s">
        <v>12</v>
      </c>
      <c r="G507" s="54">
        <v>43014</v>
      </c>
      <c r="H507" s="53">
        <v>1043</v>
      </c>
      <c r="I507" s="53">
        <v>946</v>
      </c>
      <c r="J507" s="39" t="s">
        <v>33</v>
      </c>
      <c r="K507" s="39" t="s">
        <v>851</v>
      </c>
      <c r="L507" s="39"/>
      <c r="M507" s="37">
        <v>43304</v>
      </c>
      <c r="N507" s="39">
        <v>5.7</v>
      </c>
      <c r="O507" s="40">
        <v>998</v>
      </c>
      <c r="S507" s="67"/>
    </row>
    <row r="508" spans="1:19" x14ac:dyDescent="0.55000000000000004">
      <c r="A508" s="24" t="str">
        <f>IF(COUNTIF(B508:$B$5014,B508)&gt;1,IF(COUNTIF($B$5:B508,B508)&gt;1,"",B508&amp;"-I"),B508)</f>
        <v/>
      </c>
      <c r="B508" s="29">
        <f t="shared" si="7"/>
        <v>858</v>
      </c>
      <c r="C508" s="36" t="s">
        <v>856</v>
      </c>
      <c r="D508" s="53">
        <v>668</v>
      </c>
      <c r="E508" s="53" t="s">
        <v>833</v>
      </c>
      <c r="F508" s="53" t="s">
        <v>11</v>
      </c>
      <c r="G508" s="54">
        <v>43015</v>
      </c>
      <c r="H508" s="53">
        <v>1043</v>
      </c>
      <c r="I508" s="53">
        <v>858</v>
      </c>
      <c r="J508" s="39" t="s">
        <v>33</v>
      </c>
      <c r="K508" s="39" t="s">
        <v>851</v>
      </c>
      <c r="L508" s="39"/>
      <c r="M508" s="37">
        <v>43162</v>
      </c>
      <c r="N508" s="39">
        <v>5.62</v>
      </c>
      <c r="O508" s="40">
        <v>1012</v>
      </c>
      <c r="S508" s="67"/>
    </row>
    <row r="509" spans="1:19" x14ac:dyDescent="0.55000000000000004">
      <c r="A509" s="24" t="str">
        <f>IF(COUNTIF(B509:$B$5014,B509)&gt;1,IF(COUNTIF($B$5:B509,B509)&gt;1,"",B509&amp;"-I"),B509)</f>
        <v/>
      </c>
      <c r="B509" s="29">
        <f t="shared" si="7"/>
        <v>984</v>
      </c>
      <c r="C509" s="36" t="s">
        <v>523</v>
      </c>
      <c r="D509" s="53">
        <v>669</v>
      </c>
      <c r="E509" s="53" t="s">
        <v>833</v>
      </c>
      <c r="F509" s="53" t="s">
        <v>11</v>
      </c>
      <c r="G509" s="54">
        <v>43015</v>
      </c>
      <c r="H509" s="53">
        <v>1043</v>
      </c>
      <c r="I509" s="53">
        <v>984</v>
      </c>
      <c r="J509" s="39" t="s">
        <v>33</v>
      </c>
      <c r="K509" s="39" t="s">
        <v>851</v>
      </c>
      <c r="L509" s="39"/>
      <c r="M509" s="37">
        <v>43304</v>
      </c>
      <c r="N509" s="39">
        <v>5.63</v>
      </c>
      <c r="O509" s="40">
        <v>1042</v>
      </c>
      <c r="P509" s="24" t="s">
        <v>914</v>
      </c>
      <c r="S509" s="66"/>
    </row>
    <row r="510" spans="1:19" x14ac:dyDescent="0.55000000000000004">
      <c r="A510" s="24" t="str">
        <f>IF(COUNTIF(B510:$B$5014,B510)&gt;1,IF(COUNTIF($B$5:B510,B510)&gt;1,"",B510&amp;"-I"),B510)</f>
        <v/>
      </c>
      <c r="B510" s="29">
        <f t="shared" si="7"/>
        <v>896</v>
      </c>
      <c r="C510" s="85" t="s">
        <v>524</v>
      </c>
      <c r="D510" s="72">
        <v>670</v>
      </c>
      <c r="E510" s="72" t="s">
        <v>834</v>
      </c>
      <c r="F510" s="72" t="s">
        <v>11</v>
      </c>
      <c r="G510" s="86">
        <v>43017</v>
      </c>
      <c r="H510" s="72">
        <v>1055</v>
      </c>
      <c r="I510" s="72">
        <v>896</v>
      </c>
      <c r="J510" s="47" t="s">
        <v>33</v>
      </c>
      <c r="K510" s="47" t="s">
        <v>1157</v>
      </c>
      <c r="L510" s="39" t="s">
        <v>852</v>
      </c>
      <c r="M510" s="87">
        <v>43132</v>
      </c>
      <c r="N510" s="47" t="s">
        <v>864</v>
      </c>
      <c r="O510" s="50" t="s">
        <v>864</v>
      </c>
      <c r="S510" s="67"/>
    </row>
    <row r="511" spans="1:19" x14ac:dyDescent="0.55000000000000004">
      <c r="A511" s="24" t="str">
        <f>IF(COUNTIF(B511:$B$5014,B511)&gt;1,IF(COUNTIF($B$5:B511,B511)&gt;1,"",B511&amp;"-I"),B511)</f>
        <v/>
      </c>
      <c r="B511" s="29">
        <f t="shared" si="7"/>
        <v>974</v>
      </c>
      <c r="C511" s="36" t="s">
        <v>525</v>
      </c>
      <c r="D511" s="53">
        <v>671</v>
      </c>
      <c r="E511" s="53" t="s">
        <v>833</v>
      </c>
      <c r="F511" s="53" t="s">
        <v>12</v>
      </c>
      <c r="G511" s="54">
        <v>43020</v>
      </c>
      <c r="H511" s="53">
        <v>1043</v>
      </c>
      <c r="I511" s="23">
        <v>974</v>
      </c>
      <c r="J511" s="39" t="s">
        <v>33</v>
      </c>
      <c r="K511" s="39" t="s">
        <v>851</v>
      </c>
      <c r="L511" s="39"/>
      <c r="M511" s="37">
        <v>43304</v>
      </c>
      <c r="N511" s="39">
        <v>5.7</v>
      </c>
      <c r="O511" s="40">
        <v>998</v>
      </c>
      <c r="Q511" s="68">
        <f>+R511-R479</f>
        <v>0</v>
      </c>
      <c r="S511" s="66"/>
    </row>
    <row r="512" spans="1:19" x14ac:dyDescent="0.55000000000000004">
      <c r="A512" s="24" t="str">
        <f>IF(COUNTIF(B512:$B$5014,B512)&gt;1,IF(COUNTIF($B$5:B512,B512)&gt;1,"",B512&amp;"-I"),B512)</f>
        <v/>
      </c>
      <c r="B512" s="29">
        <f t="shared" si="7"/>
        <v>977</v>
      </c>
      <c r="C512" s="36" t="s">
        <v>526</v>
      </c>
      <c r="D512" s="53">
        <v>672</v>
      </c>
      <c r="E512" s="53" t="s">
        <v>834</v>
      </c>
      <c r="F512" s="53" t="s">
        <v>12</v>
      </c>
      <c r="G512" s="54">
        <v>43020</v>
      </c>
      <c r="H512" s="53">
        <v>1043</v>
      </c>
      <c r="I512" s="53">
        <v>977</v>
      </c>
      <c r="J512" s="39" t="s">
        <v>33</v>
      </c>
      <c r="K512" s="39" t="s">
        <v>851</v>
      </c>
      <c r="L512" s="39"/>
      <c r="M512" s="37">
        <v>43304</v>
      </c>
      <c r="N512" s="39">
        <v>5.7</v>
      </c>
      <c r="O512" s="40">
        <v>998</v>
      </c>
    </row>
    <row r="513" spans="1:15" x14ac:dyDescent="0.55000000000000004">
      <c r="A513" s="24" t="str">
        <f>IF(COUNTIF(B513:$B$5014,B513)&gt;1,IF(COUNTIF($B$5:B513,B513)&gt;1,"",B513&amp;"-I"),B513)</f>
        <v/>
      </c>
      <c r="B513" s="29">
        <f t="shared" si="7"/>
        <v>863</v>
      </c>
      <c r="C513" s="36" t="s">
        <v>527</v>
      </c>
      <c r="D513" s="53">
        <v>673</v>
      </c>
      <c r="E513" s="53" t="s">
        <v>834</v>
      </c>
      <c r="F513" s="53" t="s">
        <v>11</v>
      </c>
      <c r="G513" s="54">
        <v>43026</v>
      </c>
      <c r="H513" s="53">
        <v>1055</v>
      </c>
      <c r="I513" s="53">
        <v>863</v>
      </c>
      <c r="J513" s="39" t="s">
        <v>33</v>
      </c>
      <c r="K513" s="39" t="s">
        <v>851</v>
      </c>
      <c r="L513" s="39"/>
      <c r="M513" s="37">
        <v>43304</v>
      </c>
      <c r="N513" s="39">
        <v>5.63</v>
      </c>
      <c r="O513" s="40">
        <v>1042</v>
      </c>
    </row>
    <row r="514" spans="1:15" x14ac:dyDescent="0.55000000000000004">
      <c r="A514" s="24" t="str">
        <f>IF(COUNTIF(B514:$B$5014,B514)&gt;1,IF(COUNTIF($B$5:B514,B514)&gt;1,"",B514&amp;"-I"),B514)</f>
        <v/>
      </c>
      <c r="B514" s="29">
        <f t="shared" si="7"/>
        <v>885</v>
      </c>
      <c r="C514" s="36" t="s">
        <v>528</v>
      </c>
      <c r="D514" s="53">
        <v>674</v>
      </c>
      <c r="E514" s="53" t="s">
        <v>834</v>
      </c>
      <c r="F514" s="53" t="s">
        <v>11</v>
      </c>
      <c r="G514" s="54">
        <v>43027</v>
      </c>
      <c r="H514" s="53">
        <v>1043</v>
      </c>
      <c r="I514" s="53">
        <v>885</v>
      </c>
      <c r="J514" s="39" t="s">
        <v>33</v>
      </c>
      <c r="K514" s="39" t="s">
        <v>851</v>
      </c>
      <c r="L514" s="39"/>
      <c r="M514" s="37">
        <v>43304</v>
      </c>
      <c r="N514" s="39">
        <v>5.63</v>
      </c>
      <c r="O514" s="40">
        <v>1042</v>
      </c>
    </row>
    <row r="515" spans="1:15" x14ac:dyDescent="0.55000000000000004">
      <c r="A515" s="24">
        <f>IF(COUNTIF(B515:$B$5014,B515)&gt;1,IF(COUNTIF($B$5:B515,B515)&gt;1,"",B515&amp;"-I"),B515)</f>
        <v>968</v>
      </c>
      <c r="B515" s="29">
        <f t="shared" si="7"/>
        <v>968</v>
      </c>
      <c r="C515" s="36" t="s">
        <v>529</v>
      </c>
      <c r="D515" s="53">
        <v>675</v>
      </c>
      <c r="E515" s="53" t="s">
        <v>834</v>
      </c>
      <c r="F515" s="53" t="s">
        <v>11</v>
      </c>
      <c r="G515" s="54">
        <v>43038</v>
      </c>
      <c r="H515" s="53">
        <v>1043</v>
      </c>
      <c r="I515" s="53">
        <v>968</v>
      </c>
      <c r="J515" s="39" t="s">
        <v>33</v>
      </c>
      <c r="K515" s="39" t="s">
        <v>851</v>
      </c>
      <c r="L515" s="39"/>
      <c r="M515" s="37">
        <v>43304</v>
      </c>
      <c r="N515" s="39">
        <v>5.63</v>
      </c>
      <c r="O515" s="40">
        <v>1042</v>
      </c>
    </row>
    <row r="516" spans="1:15" x14ac:dyDescent="0.55000000000000004">
      <c r="A516" s="24" t="str">
        <f>IF(COUNTIF(B516:$B$5014,B516)&gt;1,IF(COUNTIF($B$5:B516,B516)&gt;1,"",B516&amp;"-I"),B516)</f>
        <v/>
      </c>
      <c r="B516" s="29">
        <f t="shared" si="7"/>
        <v>954</v>
      </c>
      <c r="C516" s="36" t="s">
        <v>530</v>
      </c>
      <c r="D516" s="53">
        <v>676</v>
      </c>
      <c r="E516" s="53" t="s">
        <v>833</v>
      </c>
      <c r="F516" s="53" t="s">
        <v>12</v>
      </c>
      <c r="G516" s="54">
        <v>43045</v>
      </c>
      <c r="H516" s="53">
        <v>1055</v>
      </c>
      <c r="I516" s="53">
        <v>954</v>
      </c>
      <c r="J516" s="39" t="s">
        <v>33</v>
      </c>
      <c r="K516" s="39" t="s">
        <v>851</v>
      </c>
      <c r="L516" s="39"/>
      <c r="M516" s="37">
        <v>43304</v>
      </c>
      <c r="N516" s="39">
        <v>5.7</v>
      </c>
      <c r="O516" s="40">
        <v>998</v>
      </c>
    </row>
    <row r="517" spans="1:15" x14ac:dyDescent="0.55000000000000004">
      <c r="A517" s="24" t="str">
        <f>IF(COUNTIF(B517:$B$5014,B517)&gt;1,IF(COUNTIF($B$5:B517,B517)&gt;1,"",B517&amp;"-I"),B517)</f>
        <v/>
      </c>
      <c r="B517" s="29">
        <f t="shared" ref="B517:B580" si="8">+I517</f>
        <v>933</v>
      </c>
      <c r="C517" s="36" t="s">
        <v>531</v>
      </c>
      <c r="D517" s="53">
        <v>677</v>
      </c>
      <c r="E517" s="53" t="s">
        <v>834</v>
      </c>
      <c r="F517" s="53" t="s">
        <v>11</v>
      </c>
      <c r="G517" s="54">
        <v>43057</v>
      </c>
      <c r="H517" s="53">
        <v>1043</v>
      </c>
      <c r="I517" s="53">
        <v>933</v>
      </c>
      <c r="J517" s="39" t="s">
        <v>33</v>
      </c>
      <c r="K517" s="39" t="s">
        <v>851</v>
      </c>
      <c r="L517" s="39"/>
      <c r="M517" s="37">
        <v>43304</v>
      </c>
      <c r="N517" s="39">
        <v>5.63</v>
      </c>
      <c r="O517" s="40">
        <v>1042</v>
      </c>
    </row>
    <row r="518" spans="1:15" x14ac:dyDescent="0.55000000000000004">
      <c r="A518" s="24" t="str">
        <f>IF(COUNTIF(B518:$B$5014,B518)&gt;1,IF(COUNTIF($B$5:B518,B518)&gt;1,"",B518&amp;"-I"),B518)</f>
        <v/>
      </c>
      <c r="B518" s="29">
        <f t="shared" si="8"/>
        <v>965</v>
      </c>
      <c r="C518" s="36" t="s">
        <v>532</v>
      </c>
      <c r="D518" s="53">
        <v>678</v>
      </c>
      <c r="E518" s="53" t="s">
        <v>833</v>
      </c>
      <c r="F518" s="53" t="s">
        <v>11</v>
      </c>
      <c r="G518" s="54">
        <v>43073</v>
      </c>
      <c r="H518" s="53">
        <v>1055</v>
      </c>
      <c r="I518" s="53">
        <v>965</v>
      </c>
      <c r="J518" s="39" t="s">
        <v>33</v>
      </c>
      <c r="K518" s="39" t="s">
        <v>851</v>
      </c>
      <c r="L518" s="39"/>
      <c r="M518" s="37">
        <v>43304</v>
      </c>
      <c r="N518" s="39">
        <v>5.63</v>
      </c>
      <c r="O518" s="40">
        <v>1042</v>
      </c>
    </row>
    <row r="519" spans="1:15" x14ac:dyDescent="0.55000000000000004">
      <c r="A519" s="24" t="str">
        <f>IF(COUNTIF(B519:$B$5014,B519)&gt;1,IF(COUNTIF($B$5:B519,B519)&gt;1,"",B519&amp;"-I"),B519)</f>
        <v/>
      </c>
      <c r="B519" s="29">
        <f t="shared" si="8"/>
        <v>961</v>
      </c>
      <c r="C519" s="36" t="s">
        <v>533</v>
      </c>
      <c r="D519" s="53">
        <v>679</v>
      </c>
      <c r="E519" s="53" t="s">
        <v>833</v>
      </c>
      <c r="F519" s="53" t="s">
        <v>12</v>
      </c>
      <c r="G519" s="54">
        <v>43077</v>
      </c>
      <c r="H519" s="53">
        <v>1055</v>
      </c>
      <c r="I519" s="53">
        <v>961</v>
      </c>
      <c r="J519" s="39" t="s">
        <v>33</v>
      </c>
      <c r="K519" s="39" t="s">
        <v>851</v>
      </c>
      <c r="L519" s="39"/>
      <c r="M519" s="37">
        <v>43304</v>
      </c>
      <c r="N519" s="39">
        <v>5.7</v>
      </c>
      <c r="O519" s="40">
        <v>998</v>
      </c>
    </row>
    <row r="520" spans="1:15" x14ac:dyDescent="0.55000000000000004">
      <c r="A520" s="24" t="str">
        <f>IF(COUNTIF(B520:$B$5014,B520)&gt;1,IF(COUNTIF($B$5:B520,B520)&gt;1,"",B520&amp;"-I"),B520)</f>
        <v/>
      </c>
      <c r="B520" s="29">
        <f t="shared" si="8"/>
        <v>867</v>
      </c>
      <c r="C520" s="36" t="s">
        <v>534</v>
      </c>
      <c r="D520" s="53">
        <v>680</v>
      </c>
      <c r="E520" s="53" t="s">
        <v>833</v>
      </c>
      <c r="F520" s="57" t="s">
        <v>12</v>
      </c>
      <c r="G520" s="35">
        <v>43089</v>
      </c>
      <c r="H520" s="53">
        <v>1055</v>
      </c>
      <c r="I520" s="53">
        <v>867</v>
      </c>
      <c r="J520" s="39" t="s">
        <v>33</v>
      </c>
      <c r="K520" s="39" t="s">
        <v>851</v>
      </c>
      <c r="L520" s="39"/>
      <c r="M520" s="37">
        <v>43304</v>
      </c>
      <c r="N520" s="39">
        <v>5.7</v>
      </c>
      <c r="O520" s="40">
        <v>998</v>
      </c>
    </row>
    <row r="521" spans="1:15" x14ac:dyDescent="0.55000000000000004">
      <c r="A521" s="24" t="str">
        <f>IF(COUNTIF(B521:$B$5014,B521)&gt;1,IF(COUNTIF($B$5:B521,B521)&gt;1,"",B521&amp;"-I"),B521)</f>
        <v/>
      </c>
      <c r="B521" s="29">
        <f t="shared" si="8"/>
        <v>859</v>
      </c>
      <c r="C521" s="36" t="s">
        <v>535</v>
      </c>
      <c r="D521" s="53">
        <v>681</v>
      </c>
      <c r="E521" s="53" t="s">
        <v>833</v>
      </c>
      <c r="F521" s="57" t="s">
        <v>11</v>
      </c>
      <c r="G521" s="35">
        <v>43095</v>
      </c>
      <c r="H521" s="53">
        <v>1055</v>
      </c>
      <c r="I521" s="53">
        <v>859</v>
      </c>
      <c r="J521" s="39" t="s">
        <v>33</v>
      </c>
      <c r="K521" s="39" t="s">
        <v>851</v>
      </c>
      <c r="L521" s="39"/>
      <c r="M521" s="37">
        <v>43304</v>
      </c>
      <c r="N521" s="39">
        <v>5.63</v>
      </c>
      <c r="O521" s="40">
        <v>1042</v>
      </c>
    </row>
    <row r="522" spans="1:15" x14ac:dyDescent="0.55000000000000004">
      <c r="A522" s="24" t="str">
        <f>IF(COUNTIF(B522:$B$5014,B522)&gt;1,IF(COUNTIF($B$5:B522,B522)&gt;1,"",B522&amp;"-I"),B522)</f>
        <v/>
      </c>
      <c r="B522" s="29">
        <f t="shared" si="8"/>
        <v>877</v>
      </c>
      <c r="C522" s="36" t="s">
        <v>536</v>
      </c>
      <c r="D522" s="53">
        <v>682</v>
      </c>
      <c r="E522" s="53" t="s">
        <v>833</v>
      </c>
      <c r="F522" s="53" t="s">
        <v>11</v>
      </c>
      <c r="G522" s="54">
        <v>43107</v>
      </c>
      <c r="H522" s="53">
        <v>1043</v>
      </c>
      <c r="I522" s="53">
        <v>877</v>
      </c>
      <c r="J522" s="39" t="s">
        <v>33</v>
      </c>
      <c r="K522" s="39" t="s">
        <v>851</v>
      </c>
      <c r="L522" s="39"/>
      <c r="M522" s="37">
        <v>43304</v>
      </c>
      <c r="N522" s="39">
        <v>5.63</v>
      </c>
      <c r="O522" s="40">
        <v>1042</v>
      </c>
    </row>
    <row r="523" spans="1:15" x14ac:dyDescent="0.55000000000000004">
      <c r="A523" s="24" t="str">
        <f>IF(COUNTIF(B523:$B$5014,B523)&gt;1,IF(COUNTIF($B$5:B523,B523)&gt;1,"",B523&amp;"-I"),B523)</f>
        <v/>
      </c>
      <c r="B523" s="29">
        <f t="shared" si="8"/>
        <v>956</v>
      </c>
      <c r="C523" s="36" t="s">
        <v>537</v>
      </c>
      <c r="D523" s="53">
        <v>683</v>
      </c>
      <c r="E523" s="53" t="s">
        <v>833</v>
      </c>
      <c r="F523" s="53" t="s">
        <v>857</v>
      </c>
      <c r="G523" s="54">
        <v>43140</v>
      </c>
      <c r="H523" s="53">
        <v>1055</v>
      </c>
      <c r="I523" s="53">
        <v>956</v>
      </c>
      <c r="J523" s="39" t="s">
        <v>33</v>
      </c>
      <c r="K523" s="39" t="s">
        <v>851</v>
      </c>
      <c r="L523" s="39"/>
      <c r="M523" s="37">
        <v>43533</v>
      </c>
      <c r="N523" s="39">
        <v>5.94</v>
      </c>
      <c r="O523" s="40">
        <v>1156</v>
      </c>
    </row>
    <row r="524" spans="1:15" x14ac:dyDescent="0.55000000000000004">
      <c r="A524" s="24" t="str">
        <f>IF(COUNTIF(B524:$B$5014,B524)&gt;1,IF(COUNTIF($B$5:B524,B524)&gt;1,"",B524&amp;"-I"),B524)</f>
        <v/>
      </c>
      <c r="B524" s="29">
        <f t="shared" si="8"/>
        <v>978</v>
      </c>
      <c r="C524" s="36" t="s">
        <v>538</v>
      </c>
      <c r="D524" s="53">
        <v>684</v>
      </c>
      <c r="E524" s="53" t="s">
        <v>834</v>
      </c>
      <c r="F524" s="53" t="s">
        <v>12</v>
      </c>
      <c r="G524" s="54">
        <v>43160</v>
      </c>
      <c r="H524" s="53">
        <v>1055</v>
      </c>
      <c r="I524" s="53">
        <v>978</v>
      </c>
      <c r="J524" s="39" t="s">
        <v>33</v>
      </c>
      <c r="K524" s="39" t="s">
        <v>851</v>
      </c>
      <c r="L524" s="39"/>
      <c r="M524" s="37">
        <v>43533</v>
      </c>
      <c r="N524" s="39">
        <v>5.94</v>
      </c>
      <c r="O524" s="40">
        <v>1156</v>
      </c>
    </row>
    <row r="525" spans="1:15" x14ac:dyDescent="0.55000000000000004">
      <c r="A525" s="24" t="str">
        <f>IF(COUNTIF(B525:$B$5014,B525)&gt;1,IF(COUNTIF($B$5:B525,B525)&gt;1,"",B525&amp;"-I"),B525)</f>
        <v/>
      </c>
      <c r="B525" s="29">
        <f t="shared" si="8"/>
        <v>876</v>
      </c>
      <c r="C525" s="36" t="s">
        <v>539</v>
      </c>
      <c r="D525" s="53">
        <v>685</v>
      </c>
      <c r="E525" s="53" t="s">
        <v>833</v>
      </c>
      <c r="F525" s="53" t="s">
        <v>11</v>
      </c>
      <c r="G525" s="54">
        <v>43174</v>
      </c>
      <c r="H525" s="53" t="s">
        <v>26</v>
      </c>
      <c r="I525" s="53">
        <v>876</v>
      </c>
      <c r="J525" s="39" t="s">
        <v>33</v>
      </c>
      <c r="K525" s="39" t="s">
        <v>851</v>
      </c>
      <c r="L525" s="39"/>
      <c r="M525" s="37">
        <v>43533</v>
      </c>
      <c r="N525" s="39">
        <v>5.94</v>
      </c>
      <c r="O525" s="40">
        <v>1156</v>
      </c>
    </row>
    <row r="526" spans="1:15" x14ac:dyDescent="0.55000000000000004">
      <c r="A526" s="24" t="str">
        <f>IF(COUNTIF(B526:$B$5014,B526)&gt;1,IF(COUNTIF($B$5:B526,B526)&gt;1,"",B526&amp;"-I"),B526)</f>
        <v/>
      </c>
      <c r="B526" s="29">
        <f t="shared" si="8"/>
        <v>934</v>
      </c>
      <c r="C526" s="36" t="s">
        <v>540</v>
      </c>
      <c r="D526" s="53">
        <v>686</v>
      </c>
      <c r="E526" s="53" t="s">
        <v>834</v>
      </c>
      <c r="F526" s="53" t="s">
        <v>12</v>
      </c>
      <c r="G526" s="54">
        <v>43178</v>
      </c>
      <c r="H526" s="53" t="s">
        <v>26</v>
      </c>
      <c r="I526" s="53">
        <v>934</v>
      </c>
      <c r="J526" s="39" t="s">
        <v>33</v>
      </c>
      <c r="K526" s="39" t="s">
        <v>851</v>
      </c>
      <c r="L526" s="39"/>
      <c r="M526" s="37">
        <v>43533</v>
      </c>
      <c r="N526" s="39">
        <v>5.94</v>
      </c>
      <c r="O526" s="40">
        <v>1156</v>
      </c>
    </row>
    <row r="527" spans="1:15" x14ac:dyDescent="0.55000000000000004">
      <c r="A527" s="24" t="str">
        <f>IF(COUNTIF(B527:$B$5014,B527)&gt;1,IF(COUNTIF($B$5:B527,B527)&gt;1,"",B527&amp;"-I"),B527)</f>
        <v/>
      </c>
      <c r="B527" s="29">
        <f t="shared" si="8"/>
        <v>869</v>
      </c>
      <c r="C527" s="36" t="s">
        <v>541</v>
      </c>
      <c r="D527" s="53">
        <v>687</v>
      </c>
      <c r="E527" s="53" t="s">
        <v>833</v>
      </c>
      <c r="F527" s="53" t="s">
        <v>11</v>
      </c>
      <c r="G527" s="54">
        <v>43184</v>
      </c>
      <c r="H527" s="53" t="s">
        <v>26</v>
      </c>
      <c r="I527" s="53">
        <v>869</v>
      </c>
      <c r="J527" s="39" t="s">
        <v>33</v>
      </c>
      <c r="K527" s="39" t="s">
        <v>851</v>
      </c>
      <c r="L527" s="39"/>
      <c r="M527" s="37">
        <v>43533</v>
      </c>
      <c r="N527" s="39">
        <v>5.94</v>
      </c>
      <c r="O527" s="40">
        <v>1156</v>
      </c>
    </row>
    <row r="528" spans="1:15" x14ac:dyDescent="0.55000000000000004">
      <c r="A528" s="24" t="str">
        <f>IF(COUNTIF(B528:$B$5014,B528)&gt;1,IF(COUNTIF($B$5:B528,B528)&gt;1,"",B528&amp;"-I"),B528)</f>
        <v/>
      </c>
      <c r="B528" s="29">
        <f t="shared" si="8"/>
        <v>899</v>
      </c>
      <c r="C528" s="36" t="s">
        <v>542</v>
      </c>
      <c r="D528" s="53">
        <v>688</v>
      </c>
      <c r="E528" s="53" t="s">
        <v>833</v>
      </c>
      <c r="F528" s="53" t="s">
        <v>11</v>
      </c>
      <c r="G528" s="54">
        <v>43189</v>
      </c>
      <c r="H528" s="53" t="s">
        <v>26</v>
      </c>
      <c r="I528" s="53">
        <v>899</v>
      </c>
      <c r="J528" s="39" t="s">
        <v>33</v>
      </c>
      <c r="K528" s="39" t="s">
        <v>851</v>
      </c>
      <c r="L528" s="39"/>
      <c r="M528" s="37">
        <v>43533</v>
      </c>
      <c r="N528" s="39">
        <v>5.94</v>
      </c>
      <c r="O528" s="40">
        <v>1156</v>
      </c>
    </row>
    <row r="529" spans="1:15" x14ac:dyDescent="0.55000000000000004">
      <c r="A529" s="24" t="str">
        <f>IF(COUNTIF(B529:$B$5014,B529)&gt;1,IF(COUNTIF($B$5:B529,B529)&gt;1,"",B529&amp;"-I"),B529)</f>
        <v/>
      </c>
      <c r="B529" s="29">
        <f t="shared" si="8"/>
        <v>898</v>
      </c>
      <c r="C529" s="36" t="s">
        <v>543</v>
      </c>
      <c r="D529" s="53">
        <v>689</v>
      </c>
      <c r="E529" s="53" t="s">
        <v>834</v>
      </c>
      <c r="F529" s="53" t="s">
        <v>12</v>
      </c>
      <c r="G529" s="54">
        <v>43212</v>
      </c>
      <c r="H529" s="53">
        <v>1055</v>
      </c>
      <c r="I529" s="53">
        <v>898</v>
      </c>
      <c r="J529" s="39" t="s">
        <v>33</v>
      </c>
      <c r="K529" s="39" t="s">
        <v>851</v>
      </c>
      <c r="L529" s="39"/>
      <c r="M529" s="37">
        <v>43533</v>
      </c>
      <c r="N529" s="39">
        <v>5.94</v>
      </c>
      <c r="O529" s="40">
        <v>1156</v>
      </c>
    </row>
    <row r="530" spans="1:15" x14ac:dyDescent="0.55000000000000004">
      <c r="A530" s="24" t="str">
        <f>IF(COUNTIF(B530:$B$5014,B530)&gt;1,IF(COUNTIF($B$5:B530,B530)&gt;1,"",B530&amp;"-I"),B530)</f>
        <v/>
      </c>
      <c r="B530" s="29">
        <f t="shared" si="8"/>
        <v>875</v>
      </c>
      <c r="C530" s="36" t="s">
        <v>544</v>
      </c>
      <c r="D530" s="53">
        <v>690</v>
      </c>
      <c r="E530" s="53" t="s">
        <v>834</v>
      </c>
      <c r="F530" s="53" t="s">
        <v>12</v>
      </c>
      <c r="G530" s="54">
        <v>43216</v>
      </c>
      <c r="H530" s="53" t="s">
        <v>26</v>
      </c>
      <c r="I530" s="53">
        <v>875</v>
      </c>
      <c r="J530" s="39" t="s">
        <v>33</v>
      </c>
      <c r="K530" s="39" t="s">
        <v>851</v>
      </c>
      <c r="L530" s="39"/>
      <c r="M530" s="37">
        <v>43533</v>
      </c>
      <c r="N530" s="39">
        <v>5.94</v>
      </c>
      <c r="O530" s="40">
        <v>1156</v>
      </c>
    </row>
    <row r="531" spans="1:15" x14ac:dyDescent="0.55000000000000004">
      <c r="A531" s="24" t="str">
        <f>IF(COUNTIF(B531:$B$5014,B531)&gt;1,IF(COUNTIF($B$5:B531,B531)&gt;1,"",B531&amp;"-I"),B531)</f>
        <v/>
      </c>
      <c r="B531" s="29">
        <f t="shared" si="8"/>
        <v>949</v>
      </c>
      <c r="C531" s="36" t="s">
        <v>545</v>
      </c>
      <c r="D531" s="53">
        <v>691</v>
      </c>
      <c r="E531" s="53" t="s">
        <v>833</v>
      </c>
      <c r="F531" s="53" t="s">
        <v>11</v>
      </c>
      <c r="G531" s="54">
        <v>43218</v>
      </c>
      <c r="H531" s="53">
        <v>1055</v>
      </c>
      <c r="I531" s="53">
        <v>949</v>
      </c>
      <c r="J531" s="39" t="s">
        <v>33</v>
      </c>
      <c r="K531" s="39" t="s">
        <v>851</v>
      </c>
      <c r="L531" s="39"/>
      <c r="M531" s="37">
        <v>43533</v>
      </c>
      <c r="N531" s="39">
        <v>5.94</v>
      </c>
      <c r="O531" s="40">
        <v>1156</v>
      </c>
    </row>
    <row r="532" spans="1:15" x14ac:dyDescent="0.55000000000000004">
      <c r="A532" s="24" t="str">
        <f>IF(COUNTIF(B532:$B$5014,B532)&gt;1,IF(COUNTIF($B$5:B532,B532)&gt;1,"",B532&amp;"-I"),B532)</f>
        <v/>
      </c>
      <c r="B532" s="29">
        <f t="shared" si="8"/>
        <v>980</v>
      </c>
      <c r="C532" s="36" t="s">
        <v>546</v>
      </c>
      <c r="D532" s="53">
        <v>692</v>
      </c>
      <c r="E532" s="53" t="s">
        <v>833</v>
      </c>
      <c r="F532" s="53" t="s">
        <v>11</v>
      </c>
      <c r="G532" s="54">
        <v>43228</v>
      </c>
      <c r="H532" s="53">
        <v>1055</v>
      </c>
      <c r="I532" s="53">
        <v>980</v>
      </c>
      <c r="J532" s="39" t="s">
        <v>33</v>
      </c>
      <c r="K532" s="39" t="s">
        <v>851</v>
      </c>
      <c r="L532" s="39"/>
      <c r="M532" s="37">
        <v>43533</v>
      </c>
      <c r="N532" s="39">
        <v>5.94</v>
      </c>
      <c r="O532" s="40">
        <v>1156</v>
      </c>
    </row>
    <row r="533" spans="1:15" x14ac:dyDescent="0.55000000000000004">
      <c r="A533" s="24" t="str">
        <f>IF(COUNTIF(B533:$B$5014,B533)&gt;1,IF(COUNTIF($B$5:B533,B533)&gt;1,"",B533&amp;"-I"),B533)</f>
        <v/>
      </c>
      <c r="B533" s="29">
        <f t="shared" si="8"/>
        <v>926</v>
      </c>
      <c r="C533" s="36" t="s">
        <v>547</v>
      </c>
      <c r="D533" s="53">
        <v>693</v>
      </c>
      <c r="E533" s="53" t="s">
        <v>833</v>
      </c>
      <c r="F533" s="53" t="s">
        <v>12</v>
      </c>
      <c r="G533" s="54">
        <v>43252</v>
      </c>
      <c r="H533" s="53">
        <v>1043</v>
      </c>
      <c r="I533" s="53">
        <v>926</v>
      </c>
      <c r="J533" s="39" t="s">
        <v>33</v>
      </c>
      <c r="K533" s="39" t="s">
        <v>851</v>
      </c>
      <c r="L533" s="39"/>
      <c r="M533" s="37">
        <v>43533</v>
      </c>
      <c r="N533" s="39">
        <v>5.94</v>
      </c>
      <c r="O533" s="40">
        <v>1156</v>
      </c>
    </row>
    <row r="534" spans="1:15" x14ac:dyDescent="0.55000000000000004">
      <c r="A534" s="24" t="str">
        <f>IF(COUNTIF(B534:$B$5014,B534)&gt;1,IF(COUNTIF($B$5:B534,B534)&gt;1,"",B534&amp;"-I"),B534)</f>
        <v/>
      </c>
      <c r="B534" s="29">
        <f t="shared" si="8"/>
        <v>886</v>
      </c>
      <c r="C534" s="36" t="s">
        <v>548</v>
      </c>
      <c r="D534" s="53">
        <v>694</v>
      </c>
      <c r="E534" s="53" t="s">
        <v>833</v>
      </c>
      <c r="F534" s="53" t="s">
        <v>12</v>
      </c>
      <c r="G534" s="54">
        <v>43263</v>
      </c>
      <c r="H534" s="53">
        <v>1043</v>
      </c>
      <c r="I534" s="53">
        <v>886</v>
      </c>
      <c r="J534" s="39" t="s">
        <v>33</v>
      </c>
      <c r="K534" s="39" t="s">
        <v>851</v>
      </c>
      <c r="L534" s="39"/>
      <c r="M534" s="37">
        <v>43533</v>
      </c>
      <c r="N534" s="39">
        <v>5.94</v>
      </c>
      <c r="O534" s="40">
        <v>1156</v>
      </c>
    </row>
    <row r="535" spans="1:15" x14ac:dyDescent="0.55000000000000004">
      <c r="A535" s="24" t="str">
        <f>IF(COUNTIF(B535:$B$5014,B535)&gt;1,IF(COUNTIF($B$5:B535,B535)&gt;1,"",B535&amp;"-I"),B535)</f>
        <v/>
      </c>
      <c r="B535" s="29">
        <f t="shared" si="8"/>
        <v>990</v>
      </c>
      <c r="C535" s="36" t="s">
        <v>549</v>
      </c>
      <c r="D535" s="53">
        <v>695</v>
      </c>
      <c r="E535" s="53" t="s">
        <v>833</v>
      </c>
      <c r="F535" s="53" t="s">
        <v>12</v>
      </c>
      <c r="G535" s="54">
        <v>43282</v>
      </c>
      <c r="H535" s="53" t="s">
        <v>26</v>
      </c>
      <c r="I535" s="53">
        <v>990</v>
      </c>
      <c r="J535" s="39" t="s">
        <v>33</v>
      </c>
      <c r="K535" s="39" t="s">
        <v>851</v>
      </c>
      <c r="L535" s="39"/>
      <c r="M535" s="37">
        <v>43533</v>
      </c>
      <c r="N535" s="39">
        <v>5.94</v>
      </c>
      <c r="O535" s="40">
        <v>1156</v>
      </c>
    </row>
    <row r="536" spans="1:15" x14ac:dyDescent="0.55000000000000004">
      <c r="A536" s="24" t="str">
        <f>IF(COUNTIF(B536:$B$5014,B536)&gt;1,IF(COUNTIF($B$5:B536,B536)&gt;1,"",B536&amp;"-I"),B536)</f>
        <v/>
      </c>
      <c r="B536" s="29">
        <f t="shared" si="8"/>
        <v>945</v>
      </c>
      <c r="C536" s="36" t="s">
        <v>550</v>
      </c>
      <c r="D536" s="53">
        <v>696</v>
      </c>
      <c r="E536" s="53" t="s">
        <v>833</v>
      </c>
      <c r="F536" s="53" t="s">
        <v>12</v>
      </c>
      <c r="G536" s="54">
        <v>43288</v>
      </c>
      <c r="H536" s="53">
        <v>1043</v>
      </c>
      <c r="I536" s="53">
        <v>945</v>
      </c>
      <c r="J536" s="39" t="s">
        <v>33</v>
      </c>
      <c r="K536" s="39" t="s">
        <v>851</v>
      </c>
      <c r="L536" s="39"/>
      <c r="M536" s="37">
        <v>43533</v>
      </c>
      <c r="N536" s="39">
        <v>5.94</v>
      </c>
      <c r="O536" s="40">
        <v>1156</v>
      </c>
    </row>
    <row r="537" spans="1:15" x14ac:dyDescent="0.55000000000000004">
      <c r="A537" s="24" t="str">
        <f>IF(COUNTIF(B537:$B$5014,B537)&gt;1,IF(COUNTIF($B$5:B537,B537)&gt;1,"",B537&amp;"-I"),B537)</f>
        <v/>
      </c>
      <c r="B537" s="29">
        <f t="shared" si="8"/>
        <v>957</v>
      </c>
      <c r="C537" s="36" t="s">
        <v>551</v>
      </c>
      <c r="D537" s="53">
        <v>697</v>
      </c>
      <c r="E537" s="53" t="s">
        <v>833</v>
      </c>
      <c r="F537" s="53" t="s">
        <v>11</v>
      </c>
      <c r="G537" s="54">
        <v>43297</v>
      </c>
      <c r="H537" s="53">
        <v>1043</v>
      </c>
      <c r="I537" s="53">
        <v>957</v>
      </c>
      <c r="J537" s="39" t="s">
        <v>33</v>
      </c>
      <c r="K537" s="39" t="s">
        <v>851</v>
      </c>
      <c r="L537" s="39"/>
      <c r="M537" s="37">
        <v>43533</v>
      </c>
      <c r="N537" s="39">
        <v>5.94</v>
      </c>
      <c r="O537" s="40">
        <v>1156</v>
      </c>
    </row>
    <row r="538" spans="1:15" x14ac:dyDescent="0.55000000000000004">
      <c r="A538" s="24" t="str">
        <f>IF(COUNTIF(B538:$B$5014,B538)&gt;1,IF(COUNTIF($B$5:B538,B538)&gt;1,"",B538&amp;"-I"),B538)</f>
        <v/>
      </c>
      <c r="B538" s="29">
        <f t="shared" si="8"/>
        <v>967</v>
      </c>
      <c r="C538" s="36" t="s">
        <v>552</v>
      </c>
      <c r="D538" s="53">
        <v>698</v>
      </c>
      <c r="E538" s="53" t="s">
        <v>834</v>
      </c>
      <c r="F538" s="53" t="s">
        <v>12</v>
      </c>
      <c r="G538" s="54">
        <v>43298</v>
      </c>
      <c r="H538" s="53">
        <v>1043</v>
      </c>
      <c r="I538" s="53">
        <v>967</v>
      </c>
      <c r="J538" s="39" t="s">
        <v>33</v>
      </c>
      <c r="K538" s="39" t="s">
        <v>851</v>
      </c>
      <c r="L538" s="39"/>
      <c r="M538" s="37">
        <v>43533</v>
      </c>
      <c r="N538" s="39">
        <v>5.94</v>
      </c>
      <c r="O538" s="40">
        <v>1156</v>
      </c>
    </row>
    <row r="539" spans="1:15" x14ac:dyDescent="0.55000000000000004">
      <c r="A539" s="24" t="str">
        <f>IF(COUNTIF(B539:$B$5014,B539)&gt;1,IF(COUNTIF($B$5:B539,B539)&gt;1,"",B539&amp;"-I"),B539)</f>
        <v/>
      </c>
      <c r="B539" s="29">
        <f t="shared" si="8"/>
        <v>931</v>
      </c>
      <c r="C539" s="36" t="s">
        <v>553</v>
      </c>
      <c r="D539" s="53">
        <v>699</v>
      </c>
      <c r="E539" s="53" t="s">
        <v>834</v>
      </c>
      <c r="F539" s="53" t="s">
        <v>12</v>
      </c>
      <c r="G539" s="54">
        <v>43301</v>
      </c>
      <c r="H539" s="53">
        <v>1055</v>
      </c>
      <c r="I539" s="53">
        <v>931</v>
      </c>
      <c r="J539" s="39" t="s">
        <v>33</v>
      </c>
      <c r="K539" s="39" t="s">
        <v>851</v>
      </c>
      <c r="L539" s="39"/>
      <c r="M539" s="37">
        <v>43533</v>
      </c>
      <c r="N539" s="39">
        <v>5.94</v>
      </c>
      <c r="O539" s="40">
        <v>1156</v>
      </c>
    </row>
    <row r="540" spans="1:15" x14ac:dyDescent="0.55000000000000004">
      <c r="A540" s="24" t="str">
        <f>IF(COUNTIF(B540:$B$5014,B540)&gt;1,IF(COUNTIF($B$5:B540,B540)&gt;1,"",B540&amp;"-I"),B540)</f>
        <v/>
      </c>
      <c r="B540" s="29">
        <f t="shared" si="8"/>
        <v>944</v>
      </c>
      <c r="C540" s="36" t="s">
        <v>554</v>
      </c>
      <c r="D540" s="53">
        <v>700</v>
      </c>
      <c r="E540" s="53" t="s">
        <v>834</v>
      </c>
      <c r="F540" s="53" t="s">
        <v>11</v>
      </c>
      <c r="G540" s="54">
        <v>43304</v>
      </c>
      <c r="H540" s="53">
        <v>1043</v>
      </c>
      <c r="I540" s="53">
        <v>944</v>
      </c>
      <c r="J540" s="39" t="s">
        <v>33</v>
      </c>
      <c r="K540" s="39" t="s">
        <v>851</v>
      </c>
      <c r="L540" s="39"/>
      <c r="M540" s="37">
        <v>43533</v>
      </c>
      <c r="N540" s="39">
        <v>5.94</v>
      </c>
      <c r="O540" s="40">
        <v>1156</v>
      </c>
    </row>
    <row r="541" spans="1:15" x14ac:dyDescent="0.55000000000000004">
      <c r="A541" s="24" t="str">
        <f>IF(COUNTIF(B541:$B$5014,B541)&gt;1,IF(COUNTIF($B$5:B541,B541)&gt;1,"",B541&amp;"-I"),B541)</f>
        <v/>
      </c>
      <c r="B541" s="29">
        <f t="shared" si="8"/>
        <v>881</v>
      </c>
      <c r="C541" s="36" t="s">
        <v>555</v>
      </c>
      <c r="D541" s="53">
        <v>701</v>
      </c>
      <c r="E541" s="53" t="s">
        <v>834</v>
      </c>
      <c r="F541" s="53" t="s">
        <v>12</v>
      </c>
      <c r="G541" s="54">
        <v>43304</v>
      </c>
      <c r="H541" s="53" t="s">
        <v>26</v>
      </c>
      <c r="I541" s="53">
        <v>881</v>
      </c>
      <c r="J541" s="39" t="s">
        <v>33</v>
      </c>
      <c r="K541" s="39" t="s">
        <v>851</v>
      </c>
      <c r="L541" s="39"/>
      <c r="M541" s="37">
        <v>43533</v>
      </c>
      <c r="N541" s="39">
        <v>5.94</v>
      </c>
      <c r="O541" s="40">
        <v>1156</v>
      </c>
    </row>
    <row r="542" spans="1:15" x14ac:dyDescent="0.55000000000000004">
      <c r="A542" s="24" t="str">
        <f>IF(COUNTIF(B542:$B$5014,B542)&gt;1,IF(COUNTIF($B$5:B542,B542)&gt;1,"",B542&amp;"-I"),B542)</f>
        <v/>
      </c>
      <c r="B542" s="29">
        <f t="shared" si="8"/>
        <v>964</v>
      </c>
      <c r="C542" s="36" t="s">
        <v>556</v>
      </c>
      <c r="D542" s="53">
        <v>702</v>
      </c>
      <c r="E542" s="53" t="s">
        <v>833</v>
      </c>
      <c r="F542" s="53" t="s">
        <v>12</v>
      </c>
      <c r="G542" s="54">
        <v>43306</v>
      </c>
      <c r="H542" s="53">
        <v>1043</v>
      </c>
      <c r="I542" s="53">
        <v>964</v>
      </c>
      <c r="J542" s="39" t="s">
        <v>33</v>
      </c>
      <c r="K542" s="39" t="s">
        <v>851</v>
      </c>
      <c r="L542" s="39"/>
      <c r="M542" s="37">
        <v>43533</v>
      </c>
      <c r="N542" s="39">
        <v>5.94</v>
      </c>
      <c r="O542" s="40">
        <v>1156</v>
      </c>
    </row>
    <row r="543" spans="1:15" x14ac:dyDescent="0.55000000000000004">
      <c r="A543" s="24" t="str">
        <f>IF(COUNTIF(B543:$B$5014,B543)&gt;1,IF(COUNTIF($B$5:B543,B543)&gt;1,"",B543&amp;"-I"),B543)</f>
        <v/>
      </c>
      <c r="B543" s="29">
        <f t="shared" si="8"/>
        <v>966</v>
      </c>
      <c r="C543" s="36" t="s">
        <v>557</v>
      </c>
      <c r="D543" s="53">
        <v>703</v>
      </c>
      <c r="E543" s="53" t="s">
        <v>834</v>
      </c>
      <c r="F543" s="53" t="s">
        <v>11</v>
      </c>
      <c r="G543" s="54">
        <v>43308</v>
      </c>
      <c r="H543" s="53">
        <v>1055</v>
      </c>
      <c r="I543" s="53">
        <v>966</v>
      </c>
      <c r="J543" s="39" t="s">
        <v>33</v>
      </c>
      <c r="K543" s="39" t="s">
        <v>851</v>
      </c>
      <c r="L543" s="39"/>
      <c r="M543" s="37">
        <v>43533</v>
      </c>
      <c r="N543" s="39">
        <v>5.94</v>
      </c>
      <c r="O543" s="40">
        <v>1156</v>
      </c>
    </row>
    <row r="544" spans="1:15" x14ac:dyDescent="0.55000000000000004">
      <c r="A544" s="24" t="str">
        <f>IF(COUNTIF(B544:$B$5014,B544)&gt;1,IF(COUNTIF($B$5:B544,B544)&gt;1,"",B544&amp;"-I"),B544)</f>
        <v/>
      </c>
      <c r="B544" s="29">
        <f t="shared" si="8"/>
        <v>880</v>
      </c>
      <c r="C544" s="36" t="s">
        <v>558</v>
      </c>
      <c r="D544" s="53">
        <v>704</v>
      </c>
      <c r="E544" s="53" t="s">
        <v>833</v>
      </c>
      <c r="F544" s="53" t="s">
        <v>12</v>
      </c>
      <c r="G544" s="54">
        <v>43311</v>
      </c>
      <c r="H544" s="53">
        <v>1043</v>
      </c>
      <c r="I544" s="53">
        <v>880</v>
      </c>
      <c r="J544" s="39" t="s">
        <v>33</v>
      </c>
      <c r="K544" s="39" t="s">
        <v>851</v>
      </c>
      <c r="L544" s="39"/>
      <c r="M544" s="37">
        <v>43533</v>
      </c>
      <c r="N544" s="39">
        <v>5.94</v>
      </c>
      <c r="O544" s="40">
        <v>1156</v>
      </c>
    </row>
    <row r="545" spans="1:16" x14ac:dyDescent="0.55000000000000004">
      <c r="A545" s="24" t="str">
        <f>IF(COUNTIF(B545:$B$5014,B545)&gt;1,IF(COUNTIF($B$5:B545,B545)&gt;1,"",B545&amp;"-I"),B545)</f>
        <v/>
      </c>
      <c r="B545" s="29">
        <f t="shared" si="8"/>
        <v>973</v>
      </c>
      <c r="C545" s="36" t="s">
        <v>559</v>
      </c>
      <c r="D545" s="53">
        <v>705</v>
      </c>
      <c r="E545" s="53" t="s">
        <v>834</v>
      </c>
      <c r="F545" s="53" t="s">
        <v>12</v>
      </c>
      <c r="G545" s="54">
        <v>43311</v>
      </c>
      <c r="H545" s="53">
        <v>1055</v>
      </c>
      <c r="I545" s="53">
        <v>973</v>
      </c>
      <c r="J545" s="39" t="s">
        <v>33</v>
      </c>
      <c r="K545" s="39" t="s">
        <v>851</v>
      </c>
      <c r="L545" s="39"/>
      <c r="M545" s="37">
        <v>43533</v>
      </c>
      <c r="N545" s="39">
        <v>5.94</v>
      </c>
      <c r="O545" s="40">
        <v>1156</v>
      </c>
    </row>
    <row r="546" spans="1:16" x14ac:dyDescent="0.55000000000000004">
      <c r="A546" s="24" t="str">
        <f>IF(COUNTIF(B546:$B$5014,B546)&gt;1,IF(COUNTIF($B$5:B546,B546)&gt;1,"",B546&amp;"-I"),B546)</f>
        <v/>
      </c>
      <c r="B546" s="29">
        <f t="shared" si="8"/>
        <v>992</v>
      </c>
      <c r="C546" s="36" t="s">
        <v>560</v>
      </c>
      <c r="D546" s="53">
        <v>706</v>
      </c>
      <c r="E546" s="53" t="s">
        <v>834</v>
      </c>
      <c r="F546" s="53" t="s">
        <v>12</v>
      </c>
      <c r="G546" s="54">
        <v>43317</v>
      </c>
      <c r="H546" s="53">
        <v>1055</v>
      </c>
      <c r="I546" s="53">
        <v>992</v>
      </c>
      <c r="J546" s="39" t="s">
        <v>33</v>
      </c>
      <c r="K546" s="39" t="s">
        <v>851</v>
      </c>
      <c r="L546" s="39"/>
      <c r="M546" s="37">
        <v>43533</v>
      </c>
      <c r="N546" s="39">
        <v>5.94</v>
      </c>
      <c r="O546" s="40">
        <v>1156</v>
      </c>
    </row>
    <row r="547" spans="1:16" x14ac:dyDescent="0.55000000000000004">
      <c r="A547" s="24" t="str">
        <f>IF(COUNTIF(B547:$B$5014,B547)&gt;1,IF(COUNTIF($B$5:B547,B547)&gt;1,"",B547&amp;"-I"),B547)</f>
        <v/>
      </c>
      <c r="B547" s="29">
        <f t="shared" si="8"/>
        <v>958</v>
      </c>
      <c r="C547" s="36" t="s">
        <v>561</v>
      </c>
      <c r="D547" s="53">
        <v>707</v>
      </c>
      <c r="E547" s="53" t="s">
        <v>833</v>
      </c>
      <c r="F547" s="53" t="s">
        <v>11</v>
      </c>
      <c r="G547" s="54">
        <v>43321</v>
      </c>
      <c r="H547" s="53">
        <v>1043</v>
      </c>
      <c r="I547" s="53">
        <v>958</v>
      </c>
      <c r="J547" s="39" t="s">
        <v>33</v>
      </c>
      <c r="K547" s="39" t="s">
        <v>851</v>
      </c>
      <c r="L547" s="39"/>
      <c r="M547" s="37">
        <v>43533</v>
      </c>
      <c r="N547" s="39">
        <v>5.94</v>
      </c>
      <c r="O547" s="40">
        <v>1156</v>
      </c>
    </row>
    <row r="548" spans="1:16" x14ac:dyDescent="0.55000000000000004">
      <c r="A548" s="24" t="str">
        <f>IF(COUNTIF(B548:$B$5014,B548)&gt;1,IF(COUNTIF($B$5:B548,B548)&gt;1,"",B548&amp;"-I"),B548)</f>
        <v/>
      </c>
      <c r="B548" s="29">
        <f t="shared" si="8"/>
        <v>893</v>
      </c>
      <c r="C548" s="36" t="s">
        <v>890</v>
      </c>
      <c r="D548" s="53">
        <v>708</v>
      </c>
      <c r="E548" s="53" t="s">
        <v>834</v>
      </c>
      <c r="F548" s="53" t="s">
        <v>12</v>
      </c>
      <c r="G548" s="54">
        <v>43329</v>
      </c>
      <c r="H548" s="53">
        <v>1055</v>
      </c>
      <c r="I548" s="53">
        <v>893</v>
      </c>
      <c r="J548" s="39" t="s">
        <v>33</v>
      </c>
      <c r="K548" s="39" t="s">
        <v>851</v>
      </c>
      <c r="L548" s="39"/>
      <c r="M548" s="37">
        <v>43533</v>
      </c>
      <c r="N548" s="39">
        <v>5.94</v>
      </c>
      <c r="O548" s="40">
        <v>1156</v>
      </c>
    </row>
    <row r="549" spans="1:16" x14ac:dyDescent="0.55000000000000004">
      <c r="A549" s="24" t="str">
        <f>IF(COUNTIF(B549:$B$5014,B549)&gt;1,IF(COUNTIF($B$5:B549,B549)&gt;1,"",B549&amp;"-I"),B549)</f>
        <v/>
      </c>
      <c r="B549" s="29">
        <f t="shared" si="8"/>
        <v>884</v>
      </c>
      <c r="C549" s="36" t="s">
        <v>562</v>
      </c>
      <c r="D549" s="53">
        <v>709</v>
      </c>
      <c r="E549" s="53" t="s">
        <v>834</v>
      </c>
      <c r="F549" s="53" t="s">
        <v>12</v>
      </c>
      <c r="G549" s="54">
        <v>43329</v>
      </c>
      <c r="H549" s="53">
        <v>1043</v>
      </c>
      <c r="I549" s="53">
        <v>884</v>
      </c>
      <c r="J549" s="39" t="s">
        <v>33</v>
      </c>
      <c r="K549" s="39" t="s">
        <v>851</v>
      </c>
      <c r="L549" s="39"/>
      <c r="M549" s="37">
        <v>43533</v>
      </c>
      <c r="N549" s="39">
        <v>5.94</v>
      </c>
      <c r="O549" s="40">
        <v>1156</v>
      </c>
    </row>
    <row r="550" spans="1:16" x14ac:dyDescent="0.55000000000000004">
      <c r="A550" s="24" t="str">
        <f>IF(COUNTIF(B550:$B$5014,B550)&gt;1,IF(COUNTIF($B$5:B550,B550)&gt;1,"",B550&amp;"-I"),B550)</f>
        <v/>
      </c>
      <c r="B550" s="29">
        <f t="shared" si="8"/>
        <v>959</v>
      </c>
      <c r="C550" s="36" t="s">
        <v>563</v>
      </c>
      <c r="D550" s="53">
        <v>710</v>
      </c>
      <c r="E550" s="53" t="s">
        <v>834</v>
      </c>
      <c r="F550" s="53" t="s">
        <v>12</v>
      </c>
      <c r="G550" s="54">
        <v>43329</v>
      </c>
      <c r="H550" s="53">
        <v>1043</v>
      </c>
      <c r="I550" s="53">
        <v>959</v>
      </c>
      <c r="J550" s="39" t="s">
        <v>33</v>
      </c>
      <c r="K550" s="39" t="s">
        <v>851</v>
      </c>
      <c r="L550" s="39"/>
      <c r="M550" s="37">
        <v>43533</v>
      </c>
      <c r="N550" s="39">
        <v>5.94</v>
      </c>
      <c r="O550" s="40">
        <v>1156</v>
      </c>
    </row>
    <row r="551" spans="1:16" x14ac:dyDescent="0.55000000000000004">
      <c r="A551" s="24" t="str">
        <f>IF(COUNTIF(B551:$B$5014,B551)&gt;1,IF(COUNTIF($B$5:B551,B551)&gt;1,"",B551&amp;"-I"),B551)</f>
        <v/>
      </c>
      <c r="B551" s="29">
        <f t="shared" si="8"/>
        <v>873</v>
      </c>
      <c r="C551" s="36" t="s">
        <v>564</v>
      </c>
      <c r="D551" s="53">
        <v>711</v>
      </c>
      <c r="E551" s="53" t="s">
        <v>833</v>
      </c>
      <c r="F551" s="53" t="s">
        <v>11</v>
      </c>
      <c r="G551" s="54">
        <v>43331</v>
      </c>
      <c r="H551" s="53">
        <v>1055</v>
      </c>
      <c r="I551" s="53">
        <v>873</v>
      </c>
      <c r="J551" s="39" t="s">
        <v>33</v>
      </c>
      <c r="K551" s="39" t="s">
        <v>851</v>
      </c>
      <c r="L551" s="39"/>
      <c r="M551" s="37">
        <v>43533</v>
      </c>
      <c r="N551" s="39">
        <v>5.94</v>
      </c>
      <c r="O551" s="40">
        <v>1156</v>
      </c>
    </row>
    <row r="552" spans="1:16" x14ac:dyDescent="0.55000000000000004">
      <c r="A552" s="24" t="str">
        <f>IF(COUNTIF(B552:$B$5014,B552)&gt;1,IF(COUNTIF($B$5:B552,B552)&gt;1,"",B552&amp;"-I"),B552)</f>
        <v/>
      </c>
      <c r="B552" s="29">
        <f t="shared" si="8"/>
        <v>943</v>
      </c>
      <c r="C552" s="36" t="s">
        <v>565</v>
      </c>
      <c r="D552" s="53">
        <v>712</v>
      </c>
      <c r="E552" s="53" t="s">
        <v>833</v>
      </c>
      <c r="F552" s="53" t="s">
        <v>11</v>
      </c>
      <c r="G552" s="54">
        <v>43334</v>
      </c>
      <c r="H552" s="53">
        <v>1055</v>
      </c>
      <c r="I552" s="53">
        <v>943</v>
      </c>
      <c r="J552" s="39" t="s">
        <v>33</v>
      </c>
      <c r="K552" s="39" t="s">
        <v>851</v>
      </c>
      <c r="L552" s="39"/>
      <c r="M552" s="37">
        <v>43533</v>
      </c>
      <c r="N552" s="39">
        <v>5.94</v>
      </c>
      <c r="O552" s="40">
        <v>1156</v>
      </c>
    </row>
    <row r="553" spans="1:16" x14ac:dyDescent="0.55000000000000004">
      <c r="A553" s="24">
        <f>IF(COUNTIF(B553:$B$5014,B553)&gt;1,IF(COUNTIF($B$5:B553,B553)&gt;1,"",B553&amp;"-I"),B553)</f>
        <v>986</v>
      </c>
      <c r="B553" s="29">
        <f t="shared" si="8"/>
        <v>986</v>
      </c>
      <c r="C553" s="36" t="s">
        <v>566</v>
      </c>
      <c r="D553" s="53">
        <v>713</v>
      </c>
      <c r="E553" s="53" t="s">
        <v>833</v>
      </c>
      <c r="F553" s="53" t="s">
        <v>12</v>
      </c>
      <c r="G553" s="54">
        <v>43336</v>
      </c>
      <c r="H553" s="53">
        <v>1043</v>
      </c>
      <c r="I553" s="53">
        <v>986</v>
      </c>
      <c r="J553" s="39" t="s">
        <v>33</v>
      </c>
      <c r="K553" s="39" t="s">
        <v>851</v>
      </c>
      <c r="L553" s="39"/>
      <c r="M553" s="37">
        <v>43533</v>
      </c>
      <c r="N553" s="39">
        <v>5.94</v>
      </c>
      <c r="O553" s="40">
        <v>1156</v>
      </c>
    </row>
    <row r="554" spans="1:16" x14ac:dyDescent="0.55000000000000004">
      <c r="A554" s="24" t="str">
        <f>IF(COUNTIF(B554:$B$5014,B554)&gt;1,IF(COUNTIF($B$5:B554,B554)&gt;1,"",B554&amp;"-I"),B554)</f>
        <v/>
      </c>
      <c r="B554" s="29">
        <f t="shared" si="8"/>
        <v>936</v>
      </c>
      <c r="C554" s="36" t="s">
        <v>567</v>
      </c>
      <c r="D554" s="53">
        <v>714</v>
      </c>
      <c r="E554" s="53" t="s">
        <v>833</v>
      </c>
      <c r="F554" s="53" t="s">
        <v>12</v>
      </c>
      <c r="G554" s="54">
        <v>43337</v>
      </c>
      <c r="H554" s="53">
        <v>1055</v>
      </c>
      <c r="I554" s="53">
        <v>936</v>
      </c>
      <c r="J554" s="39" t="s">
        <v>33</v>
      </c>
      <c r="K554" s="39" t="s">
        <v>851</v>
      </c>
      <c r="L554" s="39"/>
      <c r="M554" s="37">
        <v>43745</v>
      </c>
      <c r="N554" s="39">
        <v>5.65</v>
      </c>
      <c r="O554" s="40">
        <v>1122</v>
      </c>
    </row>
    <row r="555" spans="1:16" x14ac:dyDescent="0.55000000000000004">
      <c r="A555" s="24" t="str">
        <f>IF(COUNTIF(B555:$B$5014,B555)&gt;1,IF(COUNTIF($B$5:B555,B555)&gt;1,"",B555&amp;"-I"),B555)</f>
        <v/>
      </c>
      <c r="B555" s="29">
        <f t="shared" si="8"/>
        <v>889</v>
      </c>
      <c r="C555" s="36" t="s">
        <v>568</v>
      </c>
      <c r="D555" s="53">
        <v>715</v>
      </c>
      <c r="E555" s="53" t="s">
        <v>833</v>
      </c>
      <c r="F555" s="53" t="s">
        <v>11</v>
      </c>
      <c r="G555" s="54">
        <v>43338</v>
      </c>
      <c r="H555" s="53">
        <v>1055</v>
      </c>
      <c r="I555" s="53">
        <v>889</v>
      </c>
      <c r="J555" s="39" t="s">
        <v>33</v>
      </c>
      <c r="K555" s="39" t="s">
        <v>851</v>
      </c>
      <c r="L555" s="39"/>
      <c r="M555" s="37">
        <v>43533</v>
      </c>
      <c r="N555" s="39">
        <v>5.94</v>
      </c>
      <c r="O555" s="40">
        <v>1156</v>
      </c>
    </row>
    <row r="556" spans="1:16" x14ac:dyDescent="0.55000000000000004">
      <c r="A556" s="24" t="str">
        <f>IF(COUNTIF(B556:$B$5014,B556)&gt;1,IF(COUNTIF($B$5:B556,B556)&gt;1,"",B556&amp;"-I"),B556)</f>
        <v/>
      </c>
      <c r="B556" s="29">
        <f t="shared" si="8"/>
        <v>981</v>
      </c>
      <c r="C556" s="36" t="s">
        <v>569</v>
      </c>
      <c r="D556" s="53">
        <v>716</v>
      </c>
      <c r="E556" s="53" t="s">
        <v>833</v>
      </c>
      <c r="F556" s="53" t="s">
        <v>12</v>
      </c>
      <c r="G556" s="54">
        <v>43340</v>
      </c>
      <c r="H556" s="53">
        <v>1043</v>
      </c>
      <c r="I556" s="53">
        <v>981</v>
      </c>
      <c r="J556" s="39" t="s">
        <v>33</v>
      </c>
      <c r="K556" s="39" t="s">
        <v>851</v>
      </c>
      <c r="L556" s="39"/>
      <c r="M556" s="37">
        <v>43745</v>
      </c>
      <c r="N556" s="39">
        <v>5.65</v>
      </c>
      <c r="O556" s="50" t="s">
        <v>876</v>
      </c>
      <c r="P556" s="24" t="s">
        <v>914</v>
      </c>
    </row>
    <row r="557" spans="1:16" x14ac:dyDescent="0.55000000000000004">
      <c r="A557" s="24" t="str">
        <f>IF(COUNTIF(B557:$B$5014,B557)&gt;1,IF(COUNTIF($B$5:B557,B557)&gt;1,"",B557&amp;"-I"),B557)</f>
        <v/>
      </c>
      <c r="B557" s="29">
        <f t="shared" si="8"/>
        <v>897</v>
      </c>
      <c r="C557" s="36" t="s">
        <v>570</v>
      </c>
      <c r="D557" s="53">
        <v>717</v>
      </c>
      <c r="E557" s="53" t="s">
        <v>833</v>
      </c>
      <c r="F557" s="53" t="s">
        <v>12</v>
      </c>
      <c r="G557" s="54">
        <v>43341</v>
      </c>
      <c r="H557" s="53">
        <v>1055</v>
      </c>
      <c r="I557" s="53">
        <v>897</v>
      </c>
      <c r="J557" s="39" t="s">
        <v>33</v>
      </c>
      <c r="K557" s="39" t="s">
        <v>851</v>
      </c>
      <c r="L557" s="39"/>
      <c r="M557" s="37">
        <v>43745</v>
      </c>
      <c r="N557" s="39">
        <v>5.65</v>
      </c>
      <c r="O557" s="40">
        <v>1111</v>
      </c>
    </row>
    <row r="558" spans="1:16" x14ac:dyDescent="0.55000000000000004">
      <c r="A558" s="24" t="str">
        <f>IF(COUNTIF(B558:$B$5014,B558)&gt;1,IF(COUNTIF($B$5:B558,B558)&gt;1,"",B558&amp;"-I"),B558)</f>
        <v/>
      </c>
      <c r="B558" s="29">
        <f t="shared" si="8"/>
        <v>969</v>
      </c>
      <c r="C558" s="36" t="s">
        <v>571</v>
      </c>
      <c r="D558" s="53">
        <v>718</v>
      </c>
      <c r="E558" s="53" t="s">
        <v>833</v>
      </c>
      <c r="F558" s="53" t="s">
        <v>11</v>
      </c>
      <c r="G558" s="54">
        <v>43342</v>
      </c>
      <c r="H558" s="53">
        <v>1055</v>
      </c>
      <c r="I558" s="53">
        <v>969</v>
      </c>
      <c r="J558" s="39" t="s">
        <v>33</v>
      </c>
      <c r="K558" s="39" t="s">
        <v>851</v>
      </c>
      <c r="L558" s="39"/>
      <c r="M558" s="37">
        <v>43533</v>
      </c>
      <c r="N558" s="39">
        <v>5.94</v>
      </c>
      <c r="O558" s="40">
        <v>1156</v>
      </c>
    </row>
    <row r="559" spans="1:16" x14ac:dyDescent="0.55000000000000004">
      <c r="A559" s="24" t="str">
        <f>IF(COUNTIF(B559:$B$5014,B559)&gt;1,IF(COUNTIF($B$5:B559,B559)&gt;1,"",B559&amp;"-I"),B559)</f>
        <v/>
      </c>
      <c r="B559" s="29">
        <f t="shared" si="8"/>
        <v>870</v>
      </c>
      <c r="C559" s="36" t="s">
        <v>572</v>
      </c>
      <c r="D559" s="53">
        <v>719</v>
      </c>
      <c r="E559" s="53" t="s">
        <v>833</v>
      </c>
      <c r="F559" s="53" t="s">
        <v>11</v>
      </c>
      <c r="G559" s="54">
        <v>43347</v>
      </c>
      <c r="H559" s="53">
        <v>1055</v>
      </c>
      <c r="I559" s="53">
        <v>870</v>
      </c>
      <c r="J559" s="39" t="s">
        <v>33</v>
      </c>
      <c r="K559" s="39" t="s">
        <v>851</v>
      </c>
      <c r="L559" s="39"/>
      <c r="M559" s="37">
        <v>43533</v>
      </c>
      <c r="N559" s="39">
        <v>5.94</v>
      </c>
      <c r="O559" s="40">
        <v>1156</v>
      </c>
    </row>
    <row r="560" spans="1:16" x14ac:dyDescent="0.55000000000000004">
      <c r="A560" s="24" t="str">
        <f>IF(COUNTIF(B560:$B$5014,B560)&gt;1,IF(COUNTIF($B$5:B560,B560)&gt;1,"",B560&amp;"-I"),B560)</f>
        <v/>
      </c>
      <c r="B560" s="29">
        <f t="shared" si="8"/>
        <v>942</v>
      </c>
      <c r="C560" s="36" t="s">
        <v>573</v>
      </c>
      <c r="D560" s="53">
        <v>720</v>
      </c>
      <c r="E560" s="53" t="s">
        <v>833</v>
      </c>
      <c r="F560" s="53" t="s">
        <v>11</v>
      </c>
      <c r="G560" s="54">
        <v>43359</v>
      </c>
      <c r="H560" s="53">
        <v>1055</v>
      </c>
      <c r="I560" s="53">
        <v>942</v>
      </c>
      <c r="J560" s="39" t="s">
        <v>33</v>
      </c>
      <c r="K560" s="39" t="s">
        <v>851</v>
      </c>
      <c r="L560" s="39"/>
      <c r="M560" s="37">
        <v>43533</v>
      </c>
      <c r="N560" s="39">
        <v>5.94</v>
      </c>
      <c r="O560" s="40">
        <v>1156</v>
      </c>
    </row>
    <row r="561" spans="1:16" x14ac:dyDescent="0.55000000000000004">
      <c r="A561" s="24" t="str">
        <f>IF(COUNTIF(B561:$B$5014,B561)&gt;1,IF(COUNTIF($B$5:B561,B561)&gt;1,"",B561&amp;"-I"),B561)</f>
        <v/>
      </c>
      <c r="B561" s="29">
        <f t="shared" si="8"/>
        <v>862</v>
      </c>
      <c r="C561" s="36" t="s">
        <v>574</v>
      </c>
      <c r="D561" s="53">
        <v>721</v>
      </c>
      <c r="E561" s="53" t="s">
        <v>833</v>
      </c>
      <c r="F561" s="53" t="s">
        <v>11</v>
      </c>
      <c r="G561" s="54">
        <v>43365</v>
      </c>
      <c r="H561" s="53">
        <v>1055</v>
      </c>
      <c r="I561" s="53">
        <v>862</v>
      </c>
      <c r="J561" s="39" t="s">
        <v>33</v>
      </c>
      <c r="K561" s="39" t="s">
        <v>851</v>
      </c>
      <c r="L561" s="39"/>
      <c r="M561" s="37">
        <v>43745</v>
      </c>
      <c r="N561" s="39">
        <v>5.65</v>
      </c>
      <c r="O561" s="40">
        <v>1111</v>
      </c>
    </row>
    <row r="562" spans="1:16" x14ac:dyDescent="0.55000000000000004">
      <c r="A562" s="24" t="str">
        <f>IF(COUNTIF(B562:$B$5014,B562)&gt;1,IF(COUNTIF($B$5:B562,B562)&gt;1,"",B562&amp;"-I"),B562)</f>
        <v/>
      </c>
      <c r="B562" s="29">
        <f t="shared" si="8"/>
        <v>939</v>
      </c>
      <c r="C562" s="36" t="s">
        <v>575</v>
      </c>
      <c r="D562" s="53">
        <v>722</v>
      </c>
      <c r="E562" s="53" t="s">
        <v>834</v>
      </c>
      <c r="F562" s="53" t="s">
        <v>11</v>
      </c>
      <c r="G562" s="54">
        <v>43365</v>
      </c>
      <c r="H562" s="53" t="s">
        <v>26</v>
      </c>
      <c r="I562" s="53">
        <v>939</v>
      </c>
      <c r="J562" s="39" t="s">
        <v>33</v>
      </c>
      <c r="K562" s="39" t="s">
        <v>851</v>
      </c>
      <c r="L562" s="39"/>
      <c r="M562" s="37">
        <v>43745</v>
      </c>
      <c r="N562" s="39">
        <v>5.65</v>
      </c>
      <c r="O562" s="40">
        <v>1111</v>
      </c>
    </row>
    <row r="563" spans="1:16" x14ac:dyDescent="0.55000000000000004">
      <c r="A563" s="24" t="str">
        <f>IF(COUNTIF(B563:$B$5014,B563)&gt;1,IF(COUNTIF($B$5:B563,B563)&gt;1,"",B563&amp;"-I"),B563)</f>
        <v/>
      </c>
      <c r="B563" s="29">
        <f t="shared" si="8"/>
        <v>972</v>
      </c>
      <c r="C563" s="36" t="s">
        <v>576</v>
      </c>
      <c r="D563" s="53">
        <v>723</v>
      </c>
      <c r="E563" s="53" t="s">
        <v>834</v>
      </c>
      <c r="F563" s="53" t="s">
        <v>857</v>
      </c>
      <c r="G563" s="54">
        <v>43372</v>
      </c>
      <c r="H563" s="53">
        <v>1055</v>
      </c>
      <c r="I563" s="53">
        <v>972</v>
      </c>
      <c r="J563" s="39" t="s">
        <v>33</v>
      </c>
      <c r="K563" s="39" t="s">
        <v>851</v>
      </c>
      <c r="L563" s="39"/>
      <c r="M563" s="37">
        <v>43745</v>
      </c>
      <c r="N563" s="39">
        <v>5.65</v>
      </c>
      <c r="O563" s="40">
        <v>1111</v>
      </c>
    </row>
    <row r="564" spans="1:16" x14ac:dyDescent="0.55000000000000004">
      <c r="A564" s="24" t="str">
        <f>IF(COUNTIF(B564:$B$5014,B564)&gt;1,IF(COUNTIF($B$5:B564,B564)&gt;1,"",B564&amp;"-I"),B564)</f>
        <v/>
      </c>
      <c r="B564" s="29">
        <f t="shared" si="8"/>
        <v>983</v>
      </c>
      <c r="C564" s="36" t="s">
        <v>577</v>
      </c>
      <c r="D564" s="53">
        <v>724</v>
      </c>
      <c r="E564" s="53" t="s">
        <v>833</v>
      </c>
      <c r="F564" s="53" t="s">
        <v>12</v>
      </c>
      <c r="G564" s="54">
        <v>43381</v>
      </c>
      <c r="H564" s="53">
        <v>1043</v>
      </c>
      <c r="I564" s="53">
        <v>983</v>
      </c>
      <c r="J564" s="39" t="s">
        <v>33</v>
      </c>
      <c r="K564" s="39" t="s">
        <v>851</v>
      </c>
      <c r="L564" s="39"/>
      <c r="M564" s="37">
        <v>43745</v>
      </c>
      <c r="N564" s="40">
        <v>5.65</v>
      </c>
      <c r="O564" s="50">
        <v>1111</v>
      </c>
      <c r="P564" s="100" t="s">
        <v>913</v>
      </c>
    </row>
    <row r="565" spans="1:16" x14ac:dyDescent="0.55000000000000004">
      <c r="A565" s="24" t="str">
        <f>IF(COUNTIF(B565:$B$5014,B565)&gt;1,IF(COUNTIF($B$5:B565,B565)&gt;1,"",B565&amp;"-I"),B565)</f>
        <v/>
      </c>
      <c r="B565" s="29">
        <f t="shared" si="8"/>
        <v>987</v>
      </c>
      <c r="C565" s="36" t="s">
        <v>578</v>
      </c>
      <c r="D565" s="53">
        <v>725</v>
      </c>
      <c r="E565" s="53" t="s">
        <v>833</v>
      </c>
      <c r="F565" s="53" t="s">
        <v>11</v>
      </c>
      <c r="G565" s="54">
        <v>43384</v>
      </c>
      <c r="H565" s="53" t="s">
        <v>26</v>
      </c>
      <c r="I565" s="53">
        <v>987</v>
      </c>
      <c r="J565" s="39" t="s">
        <v>33</v>
      </c>
      <c r="K565" s="39" t="s">
        <v>851</v>
      </c>
      <c r="L565" s="39"/>
      <c r="M565" s="37">
        <v>43745</v>
      </c>
      <c r="N565" s="39">
        <v>5.65</v>
      </c>
      <c r="O565" s="40">
        <v>1111</v>
      </c>
    </row>
    <row r="566" spans="1:16" x14ac:dyDescent="0.55000000000000004">
      <c r="A566" s="24" t="str">
        <f>IF(COUNTIF(B566:$B$5014,B566)&gt;1,IF(COUNTIF($B$5:B566,B566)&gt;1,"",B566&amp;"-I"),B566)</f>
        <v/>
      </c>
      <c r="B566" s="29">
        <f t="shared" si="8"/>
        <v>950</v>
      </c>
      <c r="C566" s="36" t="s">
        <v>579</v>
      </c>
      <c r="D566" s="53">
        <v>726</v>
      </c>
      <c r="E566" s="53" t="s">
        <v>833</v>
      </c>
      <c r="F566" s="53" t="s">
        <v>11</v>
      </c>
      <c r="G566" s="54">
        <v>43390</v>
      </c>
      <c r="H566" s="53">
        <v>1043</v>
      </c>
      <c r="I566" s="53">
        <v>950</v>
      </c>
      <c r="J566" s="39" t="s">
        <v>33</v>
      </c>
      <c r="K566" s="39" t="s">
        <v>851</v>
      </c>
      <c r="L566" s="39"/>
      <c r="M566" s="37">
        <v>43745</v>
      </c>
      <c r="N566" s="39">
        <v>5.65</v>
      </c>
      <c r="O566" s="40">
        <v>1111</v>
      </c>
    </row>
    <row r="567" spans="1:16" x14ac:dyDescent="0.55000000000000004">
      <c r="A567" s="24" t="str">
        <f>IF(COUNTIF(B567:$B$5014,B567)&gt;1,IF(COUNTIF($B$5:B567,B567)&gt;1,"",B567&amp;"-I"),B567)</f>
        <v/>
      </c>
      <c r="B567" s="29">
        <f t="shared" si="8"/>
        <v>863</v>
      </c>
      <c r="C567" s="36" t="s">
        <v>580</v>
      </c>
      <c r="D567" s="53">
        <v>727</v>
      </c>
      <c r="E567" s="53" t="s">
        <v>833</v>
      </c>
      <c r="F567" s="53" t="s">
        <v>11</v>
      </c>
      <c r="G567" s="54">
        <v>43399</v>
      </c>
      <c r="H567" s="53">
        <v>1055</v>
      </c>
      <c r="I567" s="53">
        <v>863</v>
      </c>
      <c r="J567" s="39" t="s">
        <v>33</v>
      </c>
      <c r="K567" s="39" t="s">
        <v>851</v>
      </c>
      <c r="L567" s="39"/>
      <c r="M567" s="37">
        <v>43745</v>
      </c>
      <c r="N567" s="39">
        <v>5.65</v>
      </c>
      <c r="O567" s="40">
        <v>1111</v>
      </c>
    </row>
    <row r="568" spans="1:16" x14ac:dyDescent="0.55000000000000004">
      <c r="A568" s="24" t="str">
        <f>IF(COUNTIF(B568:$B$5014,B568)&gt;1,IF(COUNTIF($B$5:B568,B568)&gt;1,"",B568&amp;"-I"),B568)</f>
        <v/>
      </c>
      <c r="B568" s="29">
        <f t="shared" si="8"/>
        <v>946</v>
      </c>
      <c r="C568" s="36" t="s">
        <v>581</v>
      </c>
      <c r="D568" s="53">
        <v>728</v>
      </c>
      <c r="E568" s="53" t="s">
        <v>833</v>
      </c>
      <c r="F568" s="53" t="s">
        <v>11</v>
      </c>
      <c r="G568" s="54">
        <v>43402</v>
      </c>
      <c r="H568" s="53" t="s">
        <v>26</v>
      </c>
      <c r="I568" s="53">
        <v>946</v>
      </c>
      <c r="J568" s="39" t="s">
        <v>33</v>
      </c>
      <c r="K568" s="39" t="s">
        <v>851</v>
      </c>
      <c r="L568" s="39"/>
      <c r="M568" s="37">
        <v>43745</v>
      </c>
      <c r="N568" s="39">
        <v>5.65</v>
      </c>
      <c r="O568" s="40">
        <v>1111</v>
      </c>
    </row>
    <row r="569" spans="1:16" x14ac:dyDescent="0.55000000000000004">
      <c r="A569" s="24" t="str">
        <f>IF(COUNTIF(B569:$B$5014,B569)&gt;1,IF(COUNTIF($B$5:B569,B569)&gt;1,"",B569&amp;"-I"),B569)</f>
        <v/>
      </c>
      <c r="B569" s="29">
        <f t="shared" si="8"/>
        <v>976</v>
      </c>
      <c r="C569" s="36" t="s">
        <v>582</v>
      </c>
      <c r="D569" s="53">
        <v>729</v>
      </c>
      <c r="E569" s="53" t="s">
        <v>833</v>
      </c>
      <c r="F569" s="53" t="s">
        <v>12</v>
      </c>
      <c r="G569" s="54">
        <v>43407</v>
      </c>
      <c r="H569" s="53">
        <v>1055</v>
      </c>
      <c r="I569" s="53">
        <v>976</v>
      </c>
      <c r="J569" s="39" t="s">
        <v>33</v>
      </c>
      <c r="K569" s="39" t="s">
        <v>851</v>
      </c>
      <c r="L569" s="39"/>
      <c r="M569" s="37">
        <v>43745</v>
      </c>
      <c r="N569" s="39">
        <v>5.65</v>
      </c>
      <c r="O569" s="40">
        <v>1111</v>
      </c>
    </row>
    <row r="570" spans="1:16" x14ac:dyDescent="0.55000000000000004">
      <c r="A570" s="24" t="str">
        <f>IF(COUNTIF(B570:$B$5014,B570)&gt;1,IF(COUNTIF($B$5:B570,B570)&gt;1,"",B570&amp;"-I"),B570)</f>
        <v/>
      </c>
      <c r="B570" s="29">
        <f t="shared" si="8"/>
        <v>894</v>
      </c>
      <c r="C570" s="36" t="s">
        <v>583</v>
      </c>
      <c r="D570" s="53">
        <v>730</v>
      </c>
      <c r="E570" s="53" t="s">
        <v>833</v>
      </c>
      <c r="F570" s="53" t="s">
        <v>11</v>
      </c>
      <c r="G570" s="54">
        <v>43410</v>
      </c>
      <c r="H570" s="53">
        <v>1055</v>
      </c>
      <c r="I570" s="53">
        <v>894</v>
      </c>
      <c r="J570" s="39" t="s">
        <v>33</v>
      </c>
      <c r="K570" s="39" t="s">
        <v>851</v>
      </c>
      <c r="L570" s="39"/>
      <c r="M570" s="37">
        <v>43745</v>
      </c>
      <c r="N570" s="39">
        <v>5.65</v>
      </c>
      <c r="O570" s="40">
        <v>1111</v>
      </c>
    </row>
    <row r="571" spans="1:16" x14ac:dyDescent="0.55000000000000004">
      <c r="A571" s="24" t="str">
        <f>IF(COUNTIF(B571:$B$5014,B571)&gt;1,IF(COUNTIF($B$5:B571,B571)&gt;1,"",B571&amp;"-I"),B571)</f>
        <v/>
      </c>
      <c r="B571" s="29">
        <f t="shared" si="8"/>
        <v>947</v>
      </c>
      <c r="C571" s="36" t="s">
        <v>584</v>
      </c>
      <c r="D571" s="53">
        <v>731</v>
      </c>
      <c r="E571" s="53" t="s">
        <v>833</v>
      </c>
      <c r="F571" s="53" t="s">
        <v>11</v>
      </c>
      <c r="G571" s="54">
        <v>43411</v>
      </c>
      <c r="H571" s="53">
        <v>1055</v>
      </c>
      <c r="I571" s="53">
        <v>947</v>
      </c>
      <c r="J571" s="39" t="s">
        <v>33</v>
      </c>
      <c r="K571" s="39" t="s">
        <v>851</v>
      </c>
      <c r="L571" s="39"/>
      <c r="M571" s="37">
        <v>43745</v>
      </c>
      <c r="N571" s="39">
        <v>5.65</v>
      </c>
      <c r="O571" s="40">
        <v>1111</v>
      </c>
    </row>
    <row r="572" spans="1:16" x14ac:dyDescent="0.55000000000000004">
      <c r="A572" s="24">
        <f>IF(COUNTIF(B572:$B$5014,B572)&gt;1,IF(COUNTIF($B$5:B572,B572)&gt;1,"",B572&amp;"-I"),B572)</f>
        <v>979</v>
      </c>
      <c r="B572" s="29">
        <f t="shared" si="8"/>
        <v>979</v>
      </c>
      <c r="C572" s="36" t="s">
        <v>585</v>
      </c>
      <c r="D572" s="53">
        <v>732</v>
      </c>
      <c r="E572" s="53" t="s">
        <v>833</v>
      </c>
      <c r="F572" s="53" t="s">
        <v>12</v>
      </c>
      <c r="G572" s="54">
        <v>43411</v>
      </c>
      <c r="H572" s="53">
        <v>1043</v>
      </c>
      <c r="I572" s="53">
        <v>979</v>
      </c>
      <c r="J572" s="39" t="s">
        <v>33</v>
      </c>
      <c r="K572" s="39" t="s">
        <v>851</v>
      </c>
      <c r="L572" s="39"/>
      <c r="M572" s="37">
        <v>43745</v>
      </c>
      <c r="N572" s="39">
        <v>5.65</v>
      </c>
      <c r="O572" s="40">
        <v>1111</v>
      </c>
    </row>
    <row r="573" spans="1:16" x14ac:dyDescent="0.55000000000000004">
      <c r="A573" s="24" t="str">
        <f>IF(COUNTIF(B573:$B$5014,B573)&gt;1,IF(COUNTIF($B$5:B573,B573)&gt;1,"",B573&amp;"-I"),B573)</f>
        <v/>
      </c>
      <c r="B573" s="29">
        <f t="shared" si="8"/>
        <v>930</v>
      </c>
      <c r="C573" s="36" t="s">
        <v>586</v>
      </c>
      <c r="D573" s="53">
        <v>733</v>
      </c>
      <c r="E573" s="53" t="s">
        <v>834</v>
      </c>
      <c r="F573" s="53" t="s">
        <v>11</v>
      </c>
      <c r="G573" s="54">
        <v>43417</v>
      </c>
      <c r="H573" s="53">
        <v>1043</v>
      </c>
      <c r="I573" s="53">
        <v>930</v>
      </c>
      <c r="J573" s="39" t="s">
        <v>33</v>
      </c>
      <c r="K573" s="39" t="s">
        <v>851</v>
      </c>
      <c r="L573" s="39"/>
      <c r="M573" s="37">
        <v>43745</v>
      </c>
      <c r="N573" s="39">
        <v>5.65</v>
      </c>
      <c r="O573" s="40">
        <v>1111</v>
      </c>
    </row>
    <row r="574" spans="1:16" x14ac:dyDescent="0.55000000000000004">
      <c r="A574" s="24" t="str">
        <f>IF(COUNTIF(B574:$B$5014,B574)&gt;1,IF(COUNTIF($B$5:B574,B574)&gt;1,"",B574&amp;"-I"),B574)</f>
        <v/>
      </c>
      <c r="B574" s="29">
        <f t="shared" si="8"/>
        <v>974</v>
      </c>
      <c r="C574" s="36" t="s">
        <v>587</v>
      </c>
      <c r="D574" s="53">
        <v>734</v>
      </c>
      <c r="E574" s="53" t="s">
        <v>833</v>
      </c>
      <c r="F574" s="53" t="s">
        <v>12</v>
      </c>
      <c r="G574" s="54">
        <v>43419</v>
      </c>
      <c r="H574" s="53">
        <v>1055</v>
      </c>
      <c r="I574" s="23">
        <v>974</v>
      </c>
      <c r="J574" s="39" t="s">
        <v>33</v>
      </c>
      <c r="K574" s="39" t="s">
        <v>851</v>
      </c>
      <c r="L574" s="39"/>
      <c r="M574" s="37">
        <v>43745</v>
      </c>
      <c r="N574" s="39">
        <v>5.65</v>
      </c>
      <c r="O574" s="40">
        <v>1111</v>
      </c>
    </row>
    <row r="575" spans="1:16" x14ac:dyDescent="0.55000000000000004">
      <c r="A575" s="24" t="str">
        <f>IF(COUNTIF(B575:$B$5014,B575)&gt;1,IF(COUNTIF($B$5:B575,B575)&gt;1,"",B575&amp;"-I"),B575)</f>
        <v/>
      </c>
      <c r="B575" s="29">
        <f t="shared" si="8"/>
        <v>954</v>
      </c>
      <c r="C575" s="36" t="s">
        <v>588</v>
      </c>
      <c r="D575" s="53">
        <v>735</v>
      </c>
      <c r="E575" s="53" t="s">
        <v>834</v>
      </c>
      <c r="F575" s="53" t="s">
        <v>12</v>
      </c>
      <c r="G575" s="54">
        <v>43420</v>
      </c>
      <c r="H575" s="53">
        <v>1055</v>
      </c>
      <c r="I575" s="53">
        <v>954</v>
      </c>
      <c r="J575" s="39" t="s">
        <v>33</v>
      </c>
      <c r="K575" s="39" t="s">
        <v>851</v>
      </c>
      <c r="L575" s="39"/>
      <c r="M575" s="37">
        <v>43745</v>
      </c>
      <c r="N575" s="39">
        <v>5.65</v>
      </c>
      <c r="O575" s="40">
        <v>1111</v>
      </c>
    </row>
    <row r="576" spans="1:16" x14ac:dyDescent="0.55000000000000004">
      <c r="A576" s="24" t="str">
        <f>IF(COUNTIF(B576:$B$5014,B576)&gt;1,IF(COUNTIF($B$5:B576,B576)&gt;1,"",B576&amp;"-I"),B576)</f>
        <v/>
      </c>
      <c r="B576" s="29">
        <f t="shared" si="8"/>
        <v>858</v>
      </c>
      <c r="C576" s="36" t="s">
        <v>589</v>
      </c>
      <c r="D576" s="53">
        <v>736</v>
      </c>
      <c r="E576" s="53" t="s">
        <v>833</v>
      </c>
      <c r="F576" s="53" t="s">
        <v>12</v>
      </c>
      <c r="G576" s="54">
        <v>43422</v>
      </c>
      <c r="H576" s="53">
        <v>1055</v>
      </c>
      <c r="I576" s="53">
        <v>858</v>
      </c>
      <c r="J576" s="39" t="s">
        <v>33</v>
      </c>
      <c r="K576" s="39" t="s">
        <v>851</v>
      </c>
      <c r="L576" s="39"/>
      <c r="M576" s="37">
        <v>43745</v>
      </c>
      <c r="N576" s="39">
        <v>5.65</v>
      </c>
      <c r="O576" s="40">
        <v>1111</v>
      </c>
    </row>
    <row r="577" spans="1:17" x14ac:dyDescent="0.55000000000000004">
      <c r="A577" s="24" t="str">
        <f>IF(COUNTIF(B577:$B$5014,B577)&gt;1,IF(COUNTIF($B$5:B577,B577)&gt;1,"",B577&amp;"-I"),B577)</f>
        <v/>
      </c>
      <c r="B577" s="29">
        <f t="shared" si="8"/>
        <v>865</v>
      </c>
      <c r="C577" s="36" t="s">
        <v>590</v>
      </c>
      <c r="D577" s="53">
        <v>737</v>
      </c>
      <c r="E577" s="53" t="s">
        <v>834</v>
      </c>
      <c r="F577" s="53" t="s">
        <v>11</v>
      </c>
      <c r="G577" s="54">
        <v>43422</v>
      </c>
      <c r="H577" s="53">
        <v>1043</v>
      </c>
      <c r="I577" s="53">
        <v>865</v>
      </c>
      <c r="J577" s="39" t="s">
        <v>33</v>
      </c>
      <c r="K577" s="39" t="s">
        <v>851</v>
      </c>
      <c r="L577" s="39"/>
      <c r="M577" s="37">
        <v>43745</v>
      </c>
      <c r="N577" s="39">
        <v>5.65</v>
      </c>
      <c r="O577" s="40">
        <v>1111</v>
      </c>
    </row>
    <row r="578" spans="1:17" x14ac:dyDescent="0.55000000000000004">
      <c r="A578" s="24" t="str">
        <f>IF(COUNTIF(B578:$B$5014,B578)&gt;1,IF(COUNTIF($B$5:B578,B578)&gt;1,"",B578&amp;"-I"),B578)</f>
        <v/>
      </c>
      <c r="B578" s="29">
        <f t="shared" si="8"/>
        <v>874</v>
      </c>
      <c r="C578" s="36" t="s">
        <v>591</v>
      </c>
      <c r="D578" s="53">
        <v>738</v>
      </c>
      <c r="E578" s="53" t="s">
        <v>833</v>
      </c>
      <c r="F578" s="53" t="s">
        <v>11</v>
      </c>
      <c r="G578" s="54">
        <v>43422</v>
      </c>
      <c r="H578" s="53">
        <v>1043</v>
      </c>
      <c r="I578" s="53">
        <v>874</v>
      </c>
      <c r="J578" s="39" t="s">
        <v>33</v>
      </c>
      <c r="K578" s="39" t="s">
        <v>851</v>
      </c>
      <c r="L578" s="39"/>
      <c r="M578" s="37">
        <v>43745</v>
      </c>
      <c r="N578" s="39">
        <v>5.65</v>
      </c>
      <c r="O578" s="40">
        <v>1111</v>
      </c>
    </row>
    <row r="579" spans="1:17" x14ac:dyDescent="0.55000000000000004">
      <c r="A579" s="24">
        <f>IF(COUNTIF(B579:$B$5014,B579)&gt;1,IF(COUNTIF($B$5:B579,B579)&gt;1,"",B579&amp;"-I"),B579)</f>
        <v>871</v>
      </c>
      <c r="B579" s="29">
        <f t="shared" si="8"/>
        <v>871</v>
      </c>
      <c r="C579" s="36" t="s">
        <v>592</v>
      </c>
      <c r="D579" s="53">
        <v>739</v>
      </c>
      <c r="E579" s="53" t="s">
        <v>834</v>
      </c>
      <c r="F579" s="53" t="s">
        <v>11</v>
      </c>
      <c r="G579" s="54">
        <v>43423</v>
      </c>
      <c r="H579" s="53">
        <v>1043</v>
      </c>
      <c r="I579" s="53">
        <v>871</v>
      </c>
      <c r="J579" s="39" t="s">
        <v>33</v>
      </c>
      <c r="K579" s="39" t="s">
        <v>851</v>
      </c>
      <c r="L579" s="39"/>
      <c r="M579" s="37">
        <v>43745</v>
      </c>
      <c r="N579" s="39">
        <v>5.65</v>
      </c>
      <c r="O579" s="40">
        <v>1111</v>
      </c>
    </row>
    <row r="580" spans="1:17" x14ac:dyDescent="0.55000000000000004">
      <c r="A580" s="24" t="str">
        <f>IF(COUNTIF(B580:$B$5014,B580)&gt;1,IF(COUNTIF($B$5:B580,B580)&gt;1,"",B580&amp;"-I"),B580)</f>
        <v/>
      </c>
      <c r="B580" s="29">
        <f t="shared" si="8"/>
        <v>963</v>
      </c>
      <c r="C580" s="36" t="s">
        <v>593</v>
      </c>
      <c r="D580" s="53">
        <v>740</v>
      </c>
      <c r="E580" s="53" t="s">
        <v>834</v>
      </c>
      <c r="F580" s="53" t="s">
        <v>11</v>
      </c>
      <c r="G580" s="54">
        <v>43431</v>
      </c>
      <c r="H580" s="53">
        <v>1043</v>
      </c>
      <c r="I580" s="53">
        <v>963</v>
      </c>
      <c r="J580" s="39" t="s">
        <v>33</v>
      </c>
      <c r="K580" s="39" t="s">
        <v>851</v>
      </c>
      <c r="L580" s="39"/>
      <c r="M580" s="37">
        <v>43745</v>
      </c>
      <c r="N580" s="39">
        <v>5.65</v>
      </c>
      <c r="O580" s="40">
        <v>1111</v>
      </c>
    </row>
    <row r="581" spans="1:17" x14ac:dyDescent="0.55000000000000004">
      <c r="A581" s="24" t="str">
        <f>IF(COUNTIF(B581:$B$5014,B581)&gt;1,IF(COUNTIF($B$5:B581,B581)&gt;1,"",B581&amp;"-I"),B581)</f>
        <v/>
      </c>
      <c r="B581" s="29">
        <f t="shared" ref="B581:B644" si="9">+I581</f>
        <v>965</v>
      </c>
      <c r="C581" s="36" t="s">
        <v>594</v>
      </c>
      <c r="D581" s="53">
        <v>741</v>
      </c>
      <c r="E581" s="53" t="s">
        <v>834</v>
      </c>
      <c r="F581" s="53" t="s">
        <v>12</v>
      </c>
      <c r="G581" s="54">
        <v>43431</v>
      </c>
      <c r="H581" s="53">
        <v>1055</v>
      </c>
      <c r="I581" s="53">
        <v>965</v>
      </c>
      <c r="J581" s="39" t="s">
        <v>33</v>
      </c>
      <c r="K581" s="39" t="s">
        <v>851</v>
      </c>
      <c r="L581" s="39"/>
      <c r="M581" s="37">
        <v>43745</v>
      </c>
      <c r="N581" s="39">
        <v>5.65</v>
      </c>
      <c r="O581" s="40">
        <v>1111</v>
      </c>
    </row>
    <row r="582" spans="1:17" x14ac:dyDescent="0.55000000000000004">
      <c r="A582" s="24" t="str">
        <f>IF(COUNTIF(B582:$B$5014,B582)&gt;1,IF(COUNTIF($B$5:B582,B582)&gt;1,"",B582&amp;"-I"),B582)</f>
        <v/>
      </c>
      <c r="B582" s="29">
        <f t="shared" si="9"/>
        <v>993</v>
      </c>
      <c r="C582" s="36" t="s">
        <v>595</v>
      </c>
      <c r="D582" s="53">
        <v>742</v>
      </c>
      <c r="E582" s="53" t="s">
        <v>834</v>
      </c>
      <c r="F582" s="53" t="s">
        <v>12</v>
      </c>
      <c r="G582" s="54">
        <v>43433</v>
      </c>
      <c r="H582" s="53">
        <v>1043</v>
      </c>
      <c r="I582" s="53">
        <v>993</v>
      </c>
      <c r="J582" s="39" t="s">
        <v>33</v>
      </c>
      <c r="K582" s="39" t="s">
        <v>851</v>
      </c>
      <c r="L582" s="39"/>
      <c r="M582" s="37">
        <v>43745</v>
      </c>
      <c r="N582" s="39" t="s">
        <v>877</v>
      </c>
      <c r="O582" s="40">
        <v>1111</v>
      </c>
    </row>
    <row r="583" spans="1:17" x14ac:dyDescent="0.55000000000000004">
      <c r="A583" s="24" t="str">
        <f>IF(COUNTIF(B583:$B$5014,B583)&gt;1,IF(COUNTIF($B$5:B583,B583)&gt;1,"",B583&amp;"-I"),B583)</f>
        <v/>
      </c>
      <c r="B583" s="29">
        <f t="shared" si="9"/>
        <v>984</v>
      </c>
      <c r="C583" s="36" t="s">
        <v>596</v>
      </c>
      <c r="D583" s="53">
        <v>743</v>
      </c>
      <c r="E583" s="53" t="s">
        <v>834</v>
      </c>
      <c r="F583" s="53" t="s">
        <v>11</v>
      </c>
      <c r="G583" s="54">
        <v>43440</v>
      </c>
      <c r="H583" s="53">
        <v>1055</v>
      </c>
      <c r="I583" s="53">
        <v>984</v>
      </c>
      <c r="J583" s="39" t="s">
        <v>33</v>
      </c>
      <c r="K583" s="39" t="s">
        <v>851</v>
      </c>
      <c r="L583" s="39"/>
      <c r="M583" s="37">
        <v>43745</v>
      </c>
      <c r="N583" s="39">
        <v>5.65</v>
      </c>
      <c r="O583" s="50">
        <v>1111</v>
      </c>
      <c r="P583" s="24" t="s">
        <v>914</v>
      </c>
    </row>
    <row r="584" spans="1:17" x14ac:dyDescent="0.55000000000000004">
      <c r="A584" s="24">
        <f>IF(COUNTIF(B584:$B$5014,B584)&gt;1,IF(COUNTIF($B$5:B584,B584)&gt;1,"",B584&amp;"-I"),B584)</f>
        <v>890</v>
      </c>
      <c r="B584" s="29">
        <f t="shared" si="9"/>
        <v>890</v>
      </c>
      <c r="C584" s="85" t="s">
        <v>597</v>
      </c>
      <c r="D584" s="72" t="s">
        <v>13</v>
      </c>
      <c r="E584" s="72" t="s">
        <v>834</v>
      </c>
      <c r="F584" s="72" t="s">
        <v>12</v>
      </c>
      <c r="G584" s="86">
        <v>43443</v>
      </c>
      <c r="H584" s="72" t="s">
        <v>26</v>
      </c>
      <c r="I584" s="72">
        <v>890</v>
      </c>
      <c r="J584" s="47" t="s">
        <v>33</v>
      </c>
      <c r="K584" s="47" t="s">
        <v>1157</v>
      </c>
      <c r="L584" s="39" t="s">
        <v>866</v>
      </c>
      <c r="M584" s="47" t="s">
        <v>864</v>
      </c>
      <c r="N584" s="47" t="s">
        <v>864</v>
      </c>
      <c r="O584" s="50" t="s">
        <v>864</v>
      </c>
    </row>
    <row r="585" spans="1:17" x14ac:dyDescent="0.55000000000000004">
      <c r="A585" s="24" t="str">
        <f>IF(COUNTIF(B585:$B$5014,B585)&gt;1,IF(COUNTIF($B$5:B585,B585)&gt;1,"",B585&amp;"-I"),B585)</f>
        <v/>
      </c>
      <c r="B585" s="29">
        <f t="shared" si="9"/>
        <v>860</v>
      </c>
      <c r="C585" s="36" t="s">
        <v>598</v>
      </c>
      <c r="D585" s="53">
        <v>744</v>
      </c>
      <c r="E585" s="53" t="s">
        <v>833</v>
      </c>
      <c r="F585" s="53" t="s">
        <v>11</v>
      </c>
      <c r="G585" s="54">
        <v>43443</v>
      </c>
      <c r="H585" s="53">
        <v>1043</v>
      </c>
      <c r="I585" s="53">
        <v>860</v>
      </c>
      <c r="J585" s="39" t="s">
        <v>33</v>
      </c>
      <c r="K585" s="39" t="s">
        <v>851</v>
      </c>
      <c r="L585" s="39"/>
      <c r="M585" s="37">
        <v>43745</v>
      </c>
      <c r="N585" s="39" t="s">
        <v>877</v>
      </c>
      <c r="O585" s="40">
        <v>1111</v>
      </c>
    </row>
    <row r="586" spans="1:17" x14ac:dyDescent="0.55000000000000004">
      <c r="A586" s="24" t="str">
        <f>IF(COUNTIF(B586:$B$5014,B586)&gt;1,IF(COUNTIF($B$5:B586,B586)&gt;1,"",B586&amp;"-I"),B586)</f>
        <v/>
      </c>
      <c r="B586" s="29">
        <f t="shared" si="9"/>
        <v>977</v>
      </c>
      <c r="C586" s="36" t="s">
        <v>599</v>
      </c>
      <c r="D586" s="53">
        <v>745</v>
      </c>
      <c r="E586" s="53" t="s">
        <v>833</v>
      </c>
      <c r="F586" s="53" t="s">
        <v>11</v>
      </c>
      <c r="G586" s="54">
        <v>43445</v>
      </c>
      <c r="H586" s="53" t="s">
        <v>26</v>
      </c>
      <c r="I586" s="53">
        <v>977</v>
      </c>
      <c r="J586" s="39" t="s">
        <v>33</v>
      </c>
      <c r="K586" s="39" t="s">
        <v>851</v>
      </c>
      <c r="L586" s="39"/>
      <c r="M586" s="37">
        <v>43745</v>
      </c>
      <c r="N586" s="39">
        <v>5.65</v>
      </c>
      <c r="O586" s="52">
        <v>1111</v>
      </c>
    </row>
    <row r="587" spans="1:17" x14ac:dyDescent="0.55000000000000004">
      <c r="A587" s="24" t="str">
        <f>IF(COUNTIF(B587:$B$5014,B587)&gt;1,IF(COUNTIF($B$5:B587,B587)&gt;1,"",B587&amp;"-I"),B587)</f>
        <v/>
      </c>
      <c r="B587" s="29">
        <f t="shared" si="9"/>
        <v>933</v>
      </c>
      <c r="C587" s="36" t="s">
        <v>600</v>
      </c>
      <c r="D587" s="53">
        <v>746</v>
      </c>
      <c r="E587" s="53" t="s">
        <v>834</v>
      </c>
      <c r="F587" s="53" t="s">
        <v>11</v>
      </c>
      <c r="G587" s="54">
        <v>43451</v>
      </c>
      <c r="H587" s="53">
        <v>1055</v>
      </c>
      <c r="I587" s="53">
        <v>933</v>
      </c>
      <c r="J587" s="39" t="s">
        <v>33</v>
      </c>
      <c r="K587" s="39" t="s">
        <v>851</v>
      </c>
      <c r="L587" s="39"/>
      <c r="M587" s="37">
        <v>43745</v>
      </c>
      <c r="N587" s="39">
        <v>5.65</v>
      </c>
      <c r="O587" s="40">
        <v>1111</v>
      </c>
    </row>
    <row r="588" spans="1:17" x14ac:dyDescent="0.55000000000000004">
      <c r="A588" s="24">
        <f>IF(COUNTIF(B588:$B$5014,B588)&gt;1,IF(COUNTIF($B$5:B588,B588)&gt;1,"",B588&amp;"-I"),B588)</f>
        <v>991</v>
      </c>
      <c r="B588" s="29">
        <f t="shared" si="9"/>
        <v>991</v>
      </c>
      <c r="C588" s="36" t="s">
        <v>601</v>
      </c>
      <c r="D588" s="53">
        <v>747</v>
      </c>
      <c r="E588" s="53" t="s">
        <v>833</v>
      </c>
      <c r="F588" s="53" t="s">
        <v>12</v>
      </c>
      <c r="G588" s="54">
        <v>43462</v>
      </c>
      <c r="H588" s="53">
        <v>1043</v>
      </c>
      <c r="I588" s="53">
        <v>991</v>
      </c>
      <c r="J588" s="39" t="s">
        <v>33</v>
      </c>
      <c r="K588" s="39" t="s">
        <v>851</v>
      </c>
      <c r="L588" s="39"/>
      <c r="M588" s="37">
        <v>43745</v>
      </c>
      <c r="N588" s="39">
        <v>5.65</v>
      </c>
      <c r="O588" s="40">
        <v>1111</v>
      </c>
    </row>
    <row r="589" spans="1:17" x14ac:dyDescent="0.55000000000000004">
      <c r="A589" s="24" t="str">
        <f>IF(COUNTIF(B589:$B$5014,B589)&gt;1,IF(COUNTIF($B$5:B589,B589)&gt;1,"",B589&amp;"-I"),B589)</f>
        <v/>
      </c>
      <c r="B589" s="29">
        <f t="shared" si="9"/>
        <v>854</v>
      </c>
      <c r="C589" s="36" t="s">
        <v>602</v>
      </c>
      <c r="D589" s="53">
        <v>748</v>
      </c>
      <c r="E589" s="53" t="s">
        <v>833</v>
      </c>
      <c r="F589" s="53" t="s">
        <v>12</v>
      </c>
      <c r="G589" s="54">
        <v>43464</v>
      </c>
      <c r="H589" s="53">
        <v>1055</v>
      </c>
      <c r="I589" s="53">
        <v>854</v>
      </c>
      <c r="J589" s="39" t="s">
        <v>33</v>
      </c>
      <c r="K589" s="39" t="s">
        <v>851</v>
      </c>
      <c r="L589" s="39"/>
      <c r="M589" s="37">
        <v>43745</v>
      </c>
      <c r="N589" s="39">
        <v>5.65</v>
      </c>
      <c r="O589" s="40">
        <v>1111</v>
      </c>
    </row>
    <row r="590" spans="1:17" x14ac:dyDescent="0.55000000000000004">
      <c r="A590" s="24" t="str">
        <f>IF(COUNTIF(B590:$B$5014,B590)&gt;1,IF(COUNTIF($B$5:B590,B590)&gt;1,"",B590&amp;"-I"),B590)</f>
        <v/>
      </c>
      <c r="B590" s="29">
        <f t="shared" si="9"/>
        <v>985</v>
      </c>
      <c r="C590" s="36" t="s">
        <v>603</v>
      </c>
      <c r="D590" s="53">
        <v>749</v>
      </c>
      <c r="E590" s="53" t="s">
        <v>833</v>
      </c>
      <c r="F590" s="53" t="s">
        <v>11</v>
      </c>
      <c r="G590" s="54">
        <v>43472</v>
      </c>
      <c r="H590" s="53" t="s">
        <v>26</v>
      </c>
      <c r="I590" s="53">
        <v>985</v>
      </c>
      <c r="J590" s="39" t="s">
        <v>33</v>
      </c>
      <c r="K590" s="39" t="s">
        <v>851</v>
      </c>
      <c r="L590" s="39"/>
      <c r="M590" s="37">
        <v>43745</v>
      </c>
      <c r="N590" s="39">
        <v>5.65</v>
      </c>
      <c r="O590" s="40">
        <v>1111</v>
      </c>
      <c r="Q590" s="24" t="s">
        <v>879</v>
      </c>
    </row>
    <row r="591" spans="1:17" x14ac:dyDescent="0.55000000000000004">
      <c r="A591" s="24">
        <f>IF(COUNTIF(B591:$B$5014,B591)&gt;1,IF(COUNTIF($B$5:B591,B591)&gt;1,"",B591&amp;"-I"),B591)</f>
        <v>896</v>
      </c>
      <c r="B591" s="29">
        <f t="shared" si="9"/>
        <v>896</v>
      </c>
      <c r="C591" s="36" t="s">
        <v>604</v>
      </c>
      <c r="D591" s="53">
        <v>750</v>
      </c>
      <c r="E591" s="53" t="s">
        <v>833</v>
      </c>
      <c r="F591" s="53" t="s">
        <v>11</v>
      </c>
      <c r="G591" s="54">
        <v>43476</v>
      </c>
      <c r="H591" s="53" t="s">
        <v>26</v>
      </c>
      <c r="I591" s="53">
        <v>896</v>
      </c>
      <c r="J591" s="39" t="s">
        <v>33</v>
      </c>
      <c r="K591" s="39" t="s">
        <v>851</v>
      </c>
      <c r="L591" s="39"/>
      <c r="M591" s="37">
        <v>43745</v>
      </c>
      <c r="N591" s="39">
        <v>5.65</v>
      </c>
      <c r="O591" s="40">
        <v>1111</v>
      </c>
    </row>
    <row r="592" spans="1:17" x14ac:dyDescent="0.55000000000000004">
      <c r="A592" s="24">
        <f>IF(COUNTIF(B592:$B$5014,B592)&gt;1,IF(COUNTIF($B$5:B592,B592)&gt;1,"",B592&amp;"-I"),B592)</f>
        <v>989</v>
      </c>
      <c r="B592" s="29">
        <f t="shared" si="9"/>
        <v>989</v>
      </c>
      <c r="C592" s="36" t="s">
        <v>605</v>
      </c>
      <c r="D592" s="53">
        <v>751</v>
      </c>
      <c r="E592" s="53" t="s">
        <v>834</v>
      </c>
      <c r="F592" s="53" t="s">
        <v>11</v>
      </c>
      <c r="G592" s="54">
        <v>43486</v>
      </c>
      <c r="H592" s="53">
        <v>1043</v>
      </c>
      <c r="I592" s="53">
        <v>989</v>
      </c>
      <c r="J592" s="39" t="s">
        <v>33</v>
      </c>
      <c r="K592" s="39" t="s">
        <v>851</v>
      </c>
      <c r="L592" s="39"/>
      <c r="M592" s="37">
        <v>43745</v>
      </c>
      <c r="N592" s="39">
        <v>5.65</v>
      </c>
      <c r="O592" s="40">
        <v>1111</v>
      </c>
    </row>
    <row r="593" spans="1:16" x14ac:dyDescent="0.55000000000000004">
      <c r="A593" s="24" t="str">
        <f>IF(COUNTIF(B593:$B$5014,B593)&gt;1,IF(COUNTIF($B$5:B593,B593)&gt;1,"",B593&amp;"-I"),B593)</f>
        <v/>
      </c>
      <c r="B593" s="29">
        <f t="shared" si="9"/>
        <v>867</v>
      </c>
      <c r="C593" s="36" t="s">
        <v>606</v>
      </c>
      <c r="D593" s="53">
        <v>752</v>
      </c>
      <c r="E593" s="53" t="s">
        <v>833</v>
      </c>
      <c r="F593" s="53" t="s">
        <v>11</v>
      </c>
      <c r="G593" s="54">
        <v>43487</v>
      </c>
      <c r="H593" s="53">
        <v>1055</v>
      </c>
      <c r="I593" s="53">
        <v>867</v>
      </c>
      <c r="J593" s="39" t="s">
        <v>33</v>
      </c>
      <c r="K593" s="39" t="s">
        <v>851</v>
      </c>
      <c r="L593" s="39"/>
      <c r="M593" s="37">
        <v>43745</v>
      </c>
      <c r="N593" s="39">
        <v>5.65</v>
      </c>
      <c r="O593" s="40">
        <v>1111</v>
      </c>
    </row>
    <row r="594" spans="1:16" x14ac:dyDescent="0.55000000000000004">
      <c r="A594" s="24" t="str">
        <f>IF(COUNTIF(B594:$B$5014,B594)&gt;1,IF(COUNTIF($B$5:B594,B594)&gt;1,"",B594&amp;"-I"),B594)</f>
        <v/>
      </c>
      <c r="B594" s="29">
        <f t="shared" si="9"/>
        <v>988</v>
      </c>
      <c r="C594" s="36" t="s">
        <v>607</v>
      </c>
      <c r="D594" s="53">
        <v>753</v>
      </c>
      <c r="E594" s="53" t="s">
        <v>833</v>
      </c>
      <c r="F594" s="53" t="s">
        <v>11</v>
      </c>
      <c r="G594" s="54">
        <v>43488</v>
      </c>
      <c r="H594" s="53" t="s">
        <v>26</v>
      </c>
      <c r="I594" s="53">
        <v>988</v>
      </c>
      <c r="J594" s="39" t="s">
        <v>33</v>
      </c>
      <c r="K594" s="39" t="s">
        <v>851</v>
      </c>
      <c r="L594" s="39"/>
      <c r="M594" s="51">
        <v>43745</v>
      </c>
      <c r="N594" s="39">
        <v>5.65</v>
      </c>
      <c r="O594" s="50">
        <v>1111</v>
      </c>
      <c r="P594" s="100" t="s">
        <v>913</v>
      </c>
    </row>
    <row r="595" spans="1:16" x14ac:dyDescent="0.55000000000000004">
      <c r="A595" s="24" t="str">
        <f>IF(COUNTIF(B595:$B$5014,B595)&gt;1,IF(COUNTIF($B$5:B595,B595)&gt;1,"",B595&amp;"-I"),B595)</f>
        <v/>
      </c>
      <c r="B595" s="29">
        <f t="shared" si="9"/>
        <v>872</v>
      </c>
      <c r="C595" s="85" t="s">
        <v>608</v>
      </c>
      <c r="D595" s="72">
        <v>754</v>
      </c>
      <c r="E595" s="72" t="s">
        <v>834</v>
      </c>
      <c r="F595" s="72" t="s">
        <v>12</v>
      </c>
      <c r="G595" s="86">
        <v>43502</v>
      </c>
      <c r="H595" s="72" t="s">
        <v>26</v>
      </c>
      <c r="I595" s="72">
        <v>872</v>
      </c>
      <c r="J595" s="47" t="s">
        <v>33</v>
      </c>
      <c r="K595" s="47" t="s">
        <v>1157</v>
      </c>
      <c r="L595" s="39" t="s">
        <v>867</v>
      </c>
      <c r="M595" s="47" t="s">
        <v>868</v>
      </c>
      <c r="N595" s="47" t="s">
        <v>869</v>
      </c>
      <c r="O595" s="50" t="s">
        <v>864</v>
      </c>
    </row>
    <row r="596" spans="1:16" x14ac:dyDescent="0.55000000000000004">
      <c r="A596" s="24" t="str">
        <f>IF(COUNTIF(B596:$B$5014,B596)&gt;1,IF(COUNTIF($B$5:B596,B596)&gt;1,"",B596&amp;"-I"),B596)</f>
        <v/>
      </c>
      <c r="B596" s="29">
        <f t="shared" si="9"/>
        <v>876</v>
      </c>
      <c r="C596" s="36" t="s">
        <v>609</v>
      </c>
      <c r="D596" s="53">
        <v>755</v>
      </c>
      <c r="E596" s="53" t="s">
        <v>834</v>
      </c>
      <c r="F596" s="53" t="s">
        <v>12</v>
      </c>
      <c r="G596" s="54">
        <v>43517</v>
      </c>
      <c r="H596" s="53" t="s">
        <v>26</v>
      </c>
      <c r="I596" s="53">
        <v>876</v>
      </c>
      <c r="J596" s="39" t="s">
        <v>33</v>
      </c>
      <c r="K596" s="39" t="s">
        <v>851</v>
      </c>
      <c r="L596" s="39"/>
      <c r="M596" s="37">
        <v>43745</v>
      </c>
      <c r="N596" s="39">
        <v>5.65</v>
      </c>
      <c r="O596" s="40">
        <v>1111</v>
      </c>
    </row>
    <row r="597" spans="1:16" x14ac:dyDescent="0.55000000000000004">
      <c r="A597" s="24" t="str">
        <f>IF(COUNTIF(B597:$B$5014,B597)&gt;1,IF(COUNTIF($B$5:B597,B597)&gt;1,"",B597&amp;"-I"),B597)</f>
        <v/>
      </c>
      <c r="B597" s="29">
        <f t="shared" si="9"/>
        <v>885</v>
      </c>
      <c r="C597" s="36" t="s">
        <v>610</v>
      </c>
      <c r="D597" s="53">
        <v>756</v>
      </c>
      <c r="E597" s="53" t="s">
        <v>834</v>
      </c>
      <c r="F597" s="53" t="s">
        <v>11</v>
      </c>
      <c r="G597" s="54">
        <v>43890</v>
      </c>
      <c r="H597" s="53" t="s">
        <v>26</v>
      </c>
      <c r="I597" s="53">
        <v>885</v>
      </c>
      <c r="J597" s="39" t="s">
        <v>33</v>
      </c>
      <c r="K597" s="39" t="s">
        <v>851</v>
      </c>
      <c r="L597" s="39"/>
      <c r="M597" s="37">
        <v>43745</v>
      </c>
      <c r="N597" s="39">
        <v>5.65</v>
      </c>
      <c r="O597" s="40">
        <v>1111</v>
      </c>
    </row>
    <row r="598" spans="1:16" x14ac:dyDescent="0.55000000000000004">
      <c r="A598" s="24" t="str">
        <f>IF(COUNTIF(B598:$B$5014,B598)&gt;1,IF(COUNTIF($B$5:B598,B598)&gt;1,"",B598&amp;"-I"),B598)</f>
        <v/>
      </c>
      <c r="B598" s="29">
        <f t="shared" si="9"/>
        <v>882</v>
      </c>
      <c r="C598" s="36" t="s">
        <v>611</v>
      </c>
      <c r="D598" s="53">
        <v>757</v>
      </c>
      <c r="E598" s="53" t="s">
        <v>833</v>
      </c>
      <c r="F598" s="53" t="s">
        <v>12</v>
      </c>
      <c r="G598" s="54">
        <v>43523</v>
      </c>
      <c r="H598" s="53">
        <v>1055</v>
      </c>
      <c r="I598" s="53">
        <v>882</v>
      </c>
      <c r="J598" s="39" t="s">
        <v>33</v>
      </c>
      <c r="K598" s="39" t="s">
        <v>851</v>
      </c>
      <c r="L598" s="39"/>
      <c r="M598" s="37">
        <v>43745</v>
      </c>
      <c r="N598" s="39">
        <v>5.65</v>
      </c>
      <c r="O598" s="40" t="s">
        <v>880</v>
      </c>
    </row>
    <row r="599" spans="1:16" x14ac:dyDescent="0.55000000000000004">
      <c r="A599" s="24" t="str">
        <f>IF(COUNTIF(B599:$B$5014,B599)&gt;1,IF(COUNTIF($B$5:B599,B599)&gt;1,"",B599&amp;"-I"),B599)</f>
        <v/>
      </c>
      <c r="B599" s="29">
        <f t="shared" si="9"/>
        <v>978</v>
      </c>
      <c r="C599" s="36" t="s">
        <v>612</v>
      </c>
      <c r="D599" s="53">
        <v>758</v>
      </c>
      <c r="E599" s="53" t="s">
        <v>834</v>
      </c>
      <c r="F599" s="53" t="s">
        <v>11</v>
      </c>
      <c r="G599" s="54">
        <v>43554</v>
      </c>
      <c r="H599" s="53">
        <v>1055</v>
      </c>
      <c r="I599" s="53">
        <v>978</v>
      </c>
      <c r="J599" s="39" t="s">
        <v>33</v>
      </c>
      <c r="K599" s="39" t="s">
        <v>851</v>
      </c>
      <c r="L599" s="39"/>
      <c r="M599" s="37">
        <v>43745</v>
      </c>
      <c r="N599" s="39">
        <v>5.65</v>
      </c>
      <c r="O599" s="40">
        <v>1111</v>
      </c>
    </row>
    <row r="600" spans="1:16" x14ac:dyDescent="0.55000000000000004">
      <c r="A600" s="24" t="str">
        <f>IF(COUNTIF(B600:$B$5014,B600)&gt;1,IF(COUNTIF($B$5:B600,B600)&gt;1,"",B600&amp;"-I"),B600)</f>
        <v/>
      </c>
      <c r="B600" s="29">
        <f t="shared" si="9"/>
        <v>898</v>
      </c>
      <c r="C600" s="36" t="s">
        <v>613</v>
      </c>
      <c r="D600" s="53">
        <v>759</v>
      </c>
      <c r="E600" s="53" t="s">
        <v>833</v>
      </c>
      <c r="F600" s="53" t="s">
        <v>12</v>
      </c>
      <c r="G600" s="54">
        <v>43557</v>
      </c>
      <c r="H600" s="53" t="s">
        <v>26</v>
      </c>
      <c r="I600" s="53">
        <v>898</v>
      </c>
      <c r="J600" s="39" t="s">
        <v>33</v>
      </c>
      <c r="K600" s="39" t="s">
        <v>1087</v>
      </c>
      <c r="L600" s="39"/>
      <c r="M600" s="37">
        <v>44041</v>
      </c>
      <c r="N600" s="39">
        <v>5.03</v>
      </c>
      <c r="O600" s="40">
        <v>1542</v>
      </c>
    </row>
    <row r="601" spans="1:16" x14ac:dyDescent="0.55000000000000004">
      <c r="A601" s="24" t="str">
        <f>IF(COUNTIF(B601:$B$5014,B601)&gt;1,IF(COUNTIF($B$5:B601,B601)&gt;1,"",B601&amp;"-I"),B601)</f>
        <v/>
      </c>
      <c r="B601" s="29">
        <f t="shared" si="9"/>
        <v>980</v>
      </c>
      <c r="C601" s="36" t="s">
        <v>614</v>
      </c>
      <c r="D601" s="53">
        <v>760</v>
      </c>
      <c r="E601" s="53" t="s">
        <v>833</v>
      </c>
      <c r="F601" s="53" t="s">
        <v>11</v>
      </c>
      <c r="G601" s="54">
        <v>43563</v>
      </c>
      <c r="H601" s="53">
        <v>1055</v>
      </c>
      <c r="I601" s="53">
        <v>980</v>
      </c>
      <c r="J601" s="39" t="s">
        <v>33</v>
      </c>
      <c r="K601" s="39" t="s">
        <v>1087</v>
      </c>
      <c r="L601" s="39"/>
      <c r="M601" s="37">
        <v>44041</v>
      </c>
      <c r="N601" s="39">
        <v>5.03</v>
      </c>
      <c r="O601" s="40">
        <v>1527</v>
      </c>
    </row>
    <row r="602" spans="1:16" x14ac:dyDescent="0.55000000000000004">
      <c r="A602" s="24" t="str">
        <f>IF(COUNTIF(B602:$B$5014,B602)&gt;1,IF(COUNTIF($B$5:B602,B602)&gt;1,"",B602&amp;"-I"),B602)</f>
        <v/>
      </c>
      <c r="B602" s="29">
        <f t="shared" si="9"/>
        <v>961</v>
      </c>
      <c r="C602" s="36" t="s">
        <v>615</v>
      </c>
      <c r="D602" s="53">
        <v>761</v>
      </c>
      <c r="E602" s="53" t="s">
        <v>833</v>
      </c>
      <c r="F602" s="53" t="s">
        <v>11</v>
      </c>
      <c r="G602" s="54">
        <v>43587</v>
      </c>
      <c r="H602" s="53">
        <v>1055</v>
      </c>
      <c r="I602" s="53">
        <v>961</v>
      </c>
      <c r="J602" s="39" t="s">
        <v>33</v>
      </c>
      <c r="K602" s="39" t="s">
        <v>1087</v>
      </c>
      <c r="L602" s="39"/>
      <c r="M602" s="37">
        <v>44041</v>
      </c>
      <c r="N602" s="39">
        <v>5.03</v>
      </c>
      <c r="O602" s="40">
        <v>1527</v>
      </c>
    </row>
    <row r="603" spans="1:16" x14ac:dyDescent="0.55000000000000004">
      <c r="A603" s="24" t="str">
        <f>IF(COUNTIF(B603:$B$5014,B603)&gt;1,IF(COUNTIF($B$5:B603,B603)&gt;1,"",B603&amp;"-I"),B603)</f>
        <v/>
      </c>
      <c r="B603" s="29">
        <f t="shared" si="9"/>
        <v>899</v>
      </c>
      <c r="C603" s="36" t="s">
        <v>616</v>
      </c>
      <c r="D603" s="53">
        <v>762</v>
      </c>
      <c r="E603" s="53" t="s">
        <v>833</v>
      </c>
      <c r="F603" s="53" t="s">
        <v>11</v>
      </c>
      <c r="G603" s="54">
        <v>43604</v>
      </c>
      <c r="H603" s="53">
        <v>1055</v>
      </c>
      <c r="I603" s="53">
        <v>899</v>
      </c>
      <c r="J603" s="39" t="s">
        <v>33</v>
      </c>
      <c r="K603" s="39" t="s">
        <v>1087</v>
      </c>
      <c r="L603" s="39"/>
      <c r="M603" s="37">
        <v>44041</v>
      </c>
      <c r="N603" s="39">
        <v>5.03</v>
      </c>
      <c r="O603" s="40">
        <v>1527</v>
      </c>
    </row>
    <row r="604" spans="1:16" x14ac:dyDescent="0.55000000000000004">
      <c r="A604" s="24" t="str">
        <f>IF(COUNTIF(B604:$B$5014,B604)&gt;1,IF(COUNTIF($B$5:B604,B604)&gt;1,"",B604&amp;"-I"),B604)</f>
        <v/>
      </c>
      <c r="B604" s="29">
        <f t="shared" si="9"/>
        <v>877</v>
      </c>
      <c r="C604" s="36" t="s">
        <v>617</v>
      </c>
      <c r="D604" s="53">
        <v>763</v>
      </c>
      <c r="E604" s="53" t="s">
        <v>833</v>
      </c>
      <c r="F604" s="53" t="s">
        <v>875</v>
      </c>
      <c r="G604" s="54">
        <v>43625</v>
      </c>
      <c r="H604" s="53" t="s">
        <v>26</v>
      </c>
      <c r="I604" s="53">
        <v>877</v>
      </c>
      <c r="J604" s="39" t="s">
        <v>33</v>
      </c>
      <c r="K604" s="39" t="s">
        <v>1087</v>
      </c>
      <c r="L604" s="39"/>
      <c r="M604" s="37">
        <v>44041</v>
      </c>
      <c r="N604" s="39">
        <v>5.03</v>
      </c>
      <c r="O604" s="40">
        <v>1527</v>
      </c>
    </row>
    <row r="605" spans="1:16" x14ac:dyDescent="0.55000000000000004">
      <c r="A605" s="24" t="str">
        <f>IF(COUNTIF(B605:$B$5014,B605)&gt;1,IF(COUNTIF($B$5:B605,B605)&gt;1,"",B605&amp;"-I"),B605)</f>
        <v/>
      </c>
      <c r="B605" s="29">
        <f t="shared" si="9"/>
        <v>859</v>
      </c>
      <c r="C605" s="36" t="s">
        <v>618</v>
      </c>
      <c r="D605" s="53">
        <v>764</v>
      </c>
      <c r="E605" s="53" t="s">
        <v>833</v>
      </c>
      <c r="F605" s="53" t="s">
        <v>12</v>
      </c>
      <c r="G605" s="54">
        <v>43627</v>
      </c>
      <c r="H605" s="53">
        <v>1055</v>
      </c>
      <c r="I605" s="53">
        <v>859</v>
      </c>
      <c r="J605" s="39" t="s">
        <v>33</v>
      </c>
      <c r="K605" s="39" t="s">
        <v>1087</v>
      </c>
      <c r="L605" s="39"/>
      <c r="M605" s="37">
        <v>44041</v>
      </c>
      <c r="N605" s="39">
        <v>5.03</v>
      </c>
      <c r="O605" s="40">
        <v>1527</v>
      </c>
    </row>
    <row r="606" spans="1:16" x14ac:dyDescent="0.55000000000000004">
      <c r="A606" s="24" t="str">
        <f>IF(COUNTIF(B606:$B$5014,B606)&gt;1,IF(COUNTIF($B$5:B606,B606)&gt;1,"",B606&amp;"-I"),B606)</f>
        <v/>
      </c>
      <c r="B606" s="29">
        <f t="shared" si="9"/>
        <v>934</v>
      </c>
      <c r="C606" s="36" t="s">
        <v>619</v>
      </c>
      <c r="D606" s="53">
        <v>765</v>
      </c>
      <c r="E606" s="53" t="s">
        <v>834</v>
      </c>
      <c r="F606" s="53" t="s">
        <v>11</v>
      </c>
      <c r="G606" s="54">
        <v>43636</v>
      </c>
      <c r="H606" s="53" t="s">
        <v>26</v>
      </c>
      <c r="I606" s="53">
        <v>934</v>
      </c>
      <c r="J606" s="39" t="s">
        <v>33</v>
      </c>
      <c r="K606" s="39" t="s">
        <v>1087</v>
      </c>
      <c r="L606" s="39"/>
      <c r="M606" s="37">
        <v>44041</v>
      </c>
      <c r="N606" s="39">
        <v>5.03</v>
      </c>
      <c r="O606" s="40">
        <v>1527</v>
      </c>
    </row>
    <row r="607" spans="1:16" x14ac:dyDescent="0.55000000000000004">
      <c r="A607" s="24" t="str">
        <f>IF(COUNTIF(B607:$B$5014,B607)&gt;1,IF(COUNTIF($B$5:B607,B607)&gt;1,"",B607&amp;"-I"),B607)</f>
        <v/>
      </c>
      <c r="B607" s="29">
        <f t="shared" si="9"/>
        <v>886</v>
      </c>
      <c r="C607" s="36" t="s">
        <v>620</v>
      </c>
      <c r="D607" s="53">
        <v>766</v>
      </c>
      <c r="E607" s="53" t="s">
        <v>833</v>
      </c>
      <c r="F607" s="53" t="s">
        <v>12</v>
      </c>
      <c r="G607" s="54">
        <v>43641</v>
      </c>
      <c r="H607" s="53" t="s">
        <v>26</v>
      </c>
      <c r="I607" s="53">
        <v>886</v>
      </c>
      <c r="J607" s="39" t="s">
        <v>33</v>
      </c>
      <c r="K607" s="39" t="s">
        <v>899</v>
      </c>
      <c r="L607" s="39"/>
      <c r="M607" s="37">
        <v>43903</v>
      </c>
      <c r="N607" s="39">
        <v>5.95</v>
      </c>
      <c r="O607" s="40">
        <v>1250</v>
      </c>
    </row>
    <row r="608" spans="1:16" x14ac:dyDescent="0.55000000000000004">
      <c r="A608" s="24" t="str">
        <f>IF(COUNTIF(B608:$B$5014,B608)&gt;1,IF(COUNTIF($B$5:B608,B608)&gt;1,"",B608&amp;"-I"),B608)</f>
        <v/>
      </c>
      <c r="B608" s="29">
        <f t="shared" si="9"/>
        <v>926</v>
      </c>
      <c r="C608" s="36" t="s">
        <v>621</v>
      </c>
      <c r="D608" s="53">
        <v>767</v>
      </c>
      <c r="E608" s="53" t="s">
        <v>833</v>
      </c>
      <c r="F608" s="53" t="s">
        <v>12</v>
      </c>
      <c r="G608" s="54">
        <v>43646</v>
      </c>
      <c r="H608" s="53">
        <v>1055</v>
      </c>
      <c r="I608" s="53">
        <v>926</v>
      </c>
      <c r="J608" s="39" t="s">
        <v>33</v>
      </c>
      <c r="K608" s="39" t="s">
        <v>1087</v>
      </c>
      <c r="L608" s="39"/>
      <c r="M608" s="37">
        <v>44041</v>
      </c>
      <c r="N608" s="39">
        <v>5.03</v>
      </c>
      <c r="O608" s="40">
        <v>1527</v>
      </c>
    </row>
    <row r="609" spans="1:16" x14ac:dyDescent="0.55000000000000004">
      <c r="A609" s="24" t="str">
        <f>IF(COUNTIF(B609:$B$5014,B609)&gt;1,IF(COUNTIF($B$5:B609,B609)&gt;1,"",B609&amp;"-I"),B609)</f>
        <v/>
      </c>
      <c r="B609" s="29">
        <f t="shared" si="9"/>
        <v>964</v>
      </c>
      <c r="C609" s="36" t="s">
        <v>622</v>
      </c>
      <c r="D609" s="53">
        <v>768</v>
      </c>
      <c r="E609" s="53" t="s">
        <v>833</v>
      </c>
      <c r="F609" s="53" t="s">
        <v>11</v>
      </c>
      <c r="G609" s="54">
        <v>43650</v>
      </c>
      <c r="H609" s="53">
        <v>1043</v>
      </c>
      <c r="I609" s="53">
        <v>964</v>
      </c>
      <c r="J609" s="39" t="s">
        <v>33</v>
      </c>
      <c r="K609" s="39" t="s">
        <v>1087</v>
      </c>
      <c r="L609" s="39"/>
      <c r="M609" s="37">
        <v>44041</v>
      </c>
      <c r="N609" s="39">
        <v>5.03</v>
      </c>
      <c r="O609" s="40">
        <v>1527</v>
      </c>
    </row>
    <row r="610" spans="1:16" x14ac:dyDescent="0.55000000000000004">
      <c r="A610" s="24" t="str">
        <f>IF(COUNTIF(B610:$B$5014,B610)&gt;1,IF(COUNTIF($B$5:B610,B610)&gt;1,"",B610&amp;"-I"),B610)</f>
        <v/>
      </c>
      <c r="B610" s="29">
        <f t="shared" si="9"/>
        <v>957</v>
      </c>
      <c r="C610" s="36" t="s">
        <v>623</v>
      </c>
      <c r="D610" s="53">
        <v>769</v>
      </c>
      <c r="E610" s="53" t="s">
        <v>833</v>
      </c>
      <c r="F610" s="53" t="s">
        <v>12</v>
      </c>
      <c r="G610" s="54">
        <v>43670</v>
      </c>
      <c r="H610" s="53" t="s">
        <v>26</v>
      </c>
      <c r="I610" s="53">
        <v>957</v>
      </c>
      <c r="J610" s="39" t="s">
        <v>33</v>
      </c>
      <c r="K610" s="39" t="s">
        <v>1087</v>
      </c>
      <c r="L610" s="39"/>
      <c r="M610" s="37">
        <v>44041</v>
      </c>
      <c r="N610" s="39">
        <v>5.03</v>
      </c>
      <c r="O610" s="40">
        <v>1527</v>
      </c>
    </row>
    <row r="611" spans="1:16" x14ac:dyDescent="0.55000000000000004">
      <c r="A611" s="24">
        <f>IF(COUNTIF(B611:$B$5014,B611)&gt;1,IF(COUNTIF($B$5:B611,B611)&gt;1,"",B611&amp;"-I"),B611)</f>
        <v>868</v>
      </c>
      <c r="B611" s="29">
        <f t="shared" si="9"/>
        <v>868</v>
      </c>
      <c r="C611" s="36" t="s">
        <v>624</v>
      </c>
      <c r="D611" s="53">
        <v>770</v>
      </c>
      <c r="E611" s="53" t="s">
        <v>834</v>
      </c>
      <c r="F611" s="53" t="s">
        <v>12</v>
      </c>
      <c r="G611" s="54">
        <v>43670</v>
      </c>
      <c r="H611" s="53">
        <v>1043</v>
      </c>
      <c r="I611" s="53">
        <v>868</v>
      </c>
      <c r="J611" s="39" t="s">
        <v>33</v>
      </c>
      <c r="K611" s="39" t="s">
        <v>1087</v>
      </c>
      <c r="L611" s="39"/>
      <c r="M611" s="37">
        <v>44041</v>
      </c>
      <c r="N611" s="39">
        <v>5.03</v>
      </c>
      <c r="O611" s="40">
        <v>1527</v>
      </c>
    </row>
    <row r="612" spans="1:16" x14ac:dyDescent="0.55000000000000004">
      <c r="A612" s="24" t="str">
        <f>IF(COUNTIF(B612:$B$5014,B612)&gt;1,IF(COUNTIF($B$5:B612,B612)&gt;1,"",B612&amp;"-I"),B612)</f>
        <v/>
      </c>
      <c r="B612" s="29">
        <f t="shared" si="9"/>
        <v>944</v>
      </c>
      <c r="C612" s="36" t="s">
        <v>625</v>
      </c>
      <c r="D612" s="53">
        <v>771</v>
      </c>
      <c r="E612" s="53" t="s">
        <v>834</v>
      </c>
      <c r="F612" s="53" t="s">
        <v>11</v>
      </c>
      <c r="G612" s="54">
        <v>43670</v>
      </c>
      <c r="H612" s="53" t="s">
        <v>26</v>
      </c>
      <c r="I612" s="53">
        <v>944</v>
      </c>
      <c r="J612" s="39" t="s">
        <v>33</v>
      </c>
      <c r="K612" s="39" t="s">
        <v>1087</v>
      </c>
      <c r="L612" s="39"/>
      <c r="M612" s="37">
        <v>44041</v>
      </c>
      <c r="N612" s="39">
        <v>5.03</v>
      </c>
      <c r="O612" s="40">
        <v>1527</v>
      </c>
    </row>
    <row r="613" spans="1:16" x14ac:dyDescent="0.55000000000000004">
      <c r="A613" s="24" t="str">
        <f>IF(COUNTIF(B613:$B$5014,B613)&gt;1,IF(COUNTIF($B$5:B613,B613)&gt;1,"",B613&amp;"-I"),B613)</f>
        <v/>
      </c>
      <c r="B613" s="29">
        <f t="shared" si="9"/>
        <v>949</v>
      </c>
      <c r="C613" s="36" t="s">
        <v>626</v>
      </c>
      <c r="D613" s="53">
        <v>772</v>
      </c>
      <c r="E613" s="53" t="s">
        <v>833</v>
      </c>
      <c r="F613" s="53" t="s">
        <v>12</v>
      </c>
      <c r="G613" s="54">
        <v>43676</v>
      </c>
      <c r="H613" s="53">
        <v>1055</v>
      </c>
      <c r="I613" s="53">
        <v>949</v>
      </c>
      <c r="J613" s="39" t="s">
        <v>33</v>
      </c>
      <c r="K613" s="39" t="s">
        <v>1087</v>
      </c>
      <c r="L613" s="39"/>
      <c r="M613" s="37">
        <v>44041</v>
      </c>
      <c r="N613" s="39">
        <v>5.03</v>
      </c>
      <c r="O613" s="40">
        <v>1527</v>
      </c>
    </row>
    <row r="614" spans="1:16" x14ac:dyDescent="0.55000000000000004">
      <c r="A614" s="24" t="str">
        <f>IF(COUNTIF(B614:$B$5014,B614)&gt;1,IF(COUNTIF($B$5:B614,B614)&gt;1,"",B614&amp;"-I"),B614)</f>
        <v/>
      </c>
      <c r="B614" s="29">
        <f t="shared" si="9"/>
        <v>875</v>
      </c>
      <c r="C614" s="36" t="s">
        <v>627</v>
      </c>
      <c r="D614" s="53">
        <v>773</v>
      </c>
      <c r="E614" s="53" t="s">
        <v>833</v>
      </c>
      <c r="F614" s="53" t="s">
        <v>12</v>
      </c>
      <c r="G614" s="54">
        <v>43678</v>
      </c>
      <c r="H614" s="53">
        <v>1055</v>
      </c>
      <c r="I614" s="53">
        <v>875</v>
      </c>
      <c r="J614" s="39" t="s">
        <v>33</v>
      </c>
      <c r="K614" s="39" t="s">
        <v>1087</v>
      </c>
      <c r="L614" s="39"/>
      <c r="M614" s="37">
        <v>44041</v>
      </c>
      <c r="N614" s="39">
        <v>5.03</v>
      </c>
      <c r="O614" s="40">
        <v>1527</v>
      </c>
    </row>
    <row r="615" spans="1:16" x14ac:dyDescent="0.55000000000000004">
      <c r="A615" s="24">
        <f>IF(COUNTIF(B615:$B$5014,B615)&gt;1,IF(COUNTIF($B$5:B615,B615)&gt;1,"",B615&amp;"-I"),B615)</f>
        <v>897</v>
      </c>
      <c r="B615" s="29">
        <f t="shared" si="9"/>
        <v>897</v>
      </c>
      <c r="C615" s="36" t="s">
        <v>628</v>
      </c>
      <c r="D615" s="53">
        <v>774</v>
      </c>
      <c r="E615" s="53" t="s">
        <v>833</v>
      </c>
      <c r="F615" s="53" t="s">
        <v>11</v>
      </c>
      <c r="G615" s="54">
        <v>43692</v>
      </c>
      <c r="H615" s="53" t="s">
        <v>26</v>
      </c>
      <c r="I615" s="53">
        <v>897</v>
      </c>
      <c r="J615" s="39" t="s">
        <v>33</v>
      </c>
      <c r="K615" s="39" t="s">
        <v>1087</v>
      </c>
      <c r="L615" s="39"/>
      <c r="M615" s="37">
        <v>44041</v>
      </c>
      <c r="N615" s="39">
        <v>5.03</v>
      </c>
      <c r="O615" s="40">
        <v>1527</v>
      </c>
    </row>
    <row r="616" spans="1:16" x14ac:dyDescent="0.55000000000000004">
      <c r="A616" s="24" t="str">
        <f>IF(COUNTIF(B616:$B$5014,B616)&gt;1,IF(COUNTIF($B$5:B616,B616)&gt;1,"",B616&amp;"-I"),B616)</f>
        <v/>
      </c>
      <c r="B616" s="29">
        <f t="shared" si="9"/>
        <v>870</v>
      </c>
      <c r="C616" s="36" t="s">
        <v>629</v>
      </c>
      <c r="D616" s="53">
        <v>775</v>
      </c>
      <c r="E616" s="53" t="s">
        <v>834</v>
      </c>
      <c r="F616" s="53" t="s">
        <v>11</v>
      </c>
      <c r="G616" s="54">
        <v>43702</v>
      </c>
      <c r="H616" s="53">
        <v>1055</v>
      </c>
      <c r="I616" s="53">
        <v>870</v>
      </c>
      <c r="J616" s="39" t="s">
        <v>33</v>
      </c>
      <c r="K616" s="39" t="s">
        <v>1087</v>
      </c>
      <c r="L616" s="39"/>
      <c r="M616" s="37">
        <v>44041</v>
      </c>
      <c r="N616" s="39">
        <v>5.03</v>
      </c>
      <c r="O616" s="40">
        <v>1527</v>
      </c>
    </row>
    <row r="617" spans="1:16" x14ac:dyDescent="0.55000000000000004">
      <c r="A617" s="24" t="str">
        <f>IF(COUNTIF(B617:$B$5014,B617)&gt;1,IF(COUNTIF($B$5:B617,B617)&gt;1,"",B617&amp;"-I"),B617)</f>
        <v/>
      </c>
      <c r="B617" s="29">
        <f t="shared" si="9"/>
        <v>983</v>
      </c>
      <c r="C617" s="36" t="s">
        <v>630</v>
      </c>
      <c r="D617" s="53">
        <v>776</v>
      </c>
      <c r="E617" s="53" t="s">
        <v>833</v>
      </c>
      <c r="F617" s="53" t="s">
        <v>12</v>
      </c>
      <c r="G617" s="54">
        <v>43719</v>
      </c>
      <c r="H617" s="53">
        <v>1055</v>
      </c>
      <c r="I617" s="53">
        <v>983</v>
      </c>
      <c r="J617" s="39" t="s">
        <v>33</v>
      </c>
      <c r="K617" s="39" t="s">
        <v>1087</v>
      </c>
      <c r="L617" s="39"/>
      <c r="M617" s="37">
        <v>44041</v>
      </c>
      <c r="N617" s="39">
        <v>5.03</v>
      </c>
      <c r="O617" s="40">
        <v>1527</v>
      </c>
      <c r="P617" s="100" t="s">
        <v>913</v>
      </c>
    </row>
    <row r="618" spans="1:16" x14ac:dyDescent="0.55000000000000004">
      <c r="A618" s="24" t="str">
        <f>IF(COUNTIF(B618:$B$5014,B618)&gt;1,IF(COUNTIF($B$5:B618,B618)&gt;1,"",B618&amp;"-I"),B618)</f>
        <v/>
      </c>
      <c r="B618" s="29">
        <f t="shared" si="9"/>
        <v>956</v>
      </c>
      <c r="C618" s="36" t="s">
        <v>631</v>
      </c>
      <c r="D618" s="53">
        <v>777</v>
      </c>
      <c r="E618" s="53" t="s">
        <v>833</v>
      </c>
      <c r="F618" s="53" t="s">
        <v>12</v>
      </c>
      <c r="G618" s="54">
        <v>43721</v>
      </c>
      <c r="H618" s="53" t="s">
        <v>26</v>
      </c>
      <c r="I618" s="53">
        <v>956</v>
      </c>
      <c r="J618" s="39" t="s">
        <v>33</v>
      </c>
      <c r="K618" s="39" t="s">
        <v>1087</v>
      </c>
      <c r="L618" s="39"/>
      <c r="M618" s="37">
        <v>44041</v>
      </c>
      <c r="N618" s="39">
        <v>5.03</v>
      </c>
      <c r="O618" s="40">
        <v>1527</v>
      </c>
    </row>
    <row r="619" spans="1:16" x14ac:dyDescent="0.55000000000000004">
      <c r="A619" s="24" t="str">
        <f>IF(COUNTIF(B619:$B$5014,B619)&gt;1,IF(COUNTIF($B$5:B619,B619)&gt;1,"",B619&amp;"-I"),B619)</f>
        <v/>
      </c>
      <c r="B619" s="29">
        <f t="shared" si="9"/>
        <v>943</v>
      </c>
      <c r="C619" s="36" t="s">
        <v>632</v>
      </c>
      <c r="D619" s="53">
        <v>778</v>
      </c>
      <c r="E619" s="53" t="s">
        <v>833</v>
      </c>
      <c r="F619" s="53" t="s">
        <v>12</v>
      </c>
      <c r="G619" s="54">
        <v>43727</v>
      </c>
      <c r="H619" s="53" t="s">
        <v>26</v>
      </c>
      <c r="I619" s="53">
        <v>943</v>
      </c>
      <c r="J619" s="39" t="s">
        <v>33</v>
      </c>
      <c r="K619" s="39" t="s">
        <v>1087</v>
      </c>
      <c r="L619" s="39"/>
      <c r="M619" s="37">
        <v>44041</v>
      </c>
      <c r="N619" s="39">
        <v>5.03</v>
      </c>
      <c r="O619" s="40">
        <v>1527</v>
      </c>
    </row>
    <row r="620" spans="1:16" x14ac:dyDescent="0.55000000000000004">
      <c r="A620" s="24" t="str">
        <f>IF(COUNTIF(B620:$B$5014,B620)&gt;1,IF(COUNTIF($B$5:B620,B620)&gt;1,"",B620&amp;"-I"),B620)</f>
        <v/>
      </c>
      <c r="B620" s="29">
        <f t="shared" si="9"/>
        <v>958</v>
      </c>
      <c r="C620" s="36" t="s">
        <v>633</v>
      </c>
      <c r="D620" s="53">
        <v>779</v>
      </c>
      <c r="E620" s="53" t="s">
        <v>833</v>
      </c>
      <c r="F620" s="53" t="s">
        <v>11</v>
      </c>
      <c r="G620" s="54">
        <v>43730</v>
      </c>
      <c r="H620" s="53" t="s">
        <v>26</v>
      </c>
      <c r="I620" s="53">
        <v>958</v>
      </c>
      <c r="J620" s="39" t="s">
        <v>33</v>
      </c>
      <c r="K620" s="39" t="s">
        <v>1087</v>
      </c>
      <c r="L620" s="39"/>
      <c r="M620" s="37">
        <v>44041</v>
      </c>
      <c r="N620" s="39">
        <v>5.03</v>
      </c>
      <c r="O620" s="40">
        <v>1527</v>
      </c>
    </row>
    <row r="621" spans="1:16" x14ac:dyDescent="0.55000000000000004">
      <c r="A621" s="24" t="str">
        <f>IF(COUNTIF(B621:$B$5014,B621)&gt;1,IF(COUNTIF($B$5:B621,B621)&gt;1,"",B621&amp;"-I"),B621)</f>
        <v/>
      </c>
      <c r="B621" s="29">
        <f t="shared" si="9"/>
        <v>967</v>
      </c>
      <c r="C621" s="36" t="s">
        <v>634</v>
      </c>
      <c r="D621" s="53">
        <v>780</v>
      </c>
      <c r="E621" s="53" t="s">
        <v>834</v>
      </c>
      <c r="F621" s="53" t="s">
        <v>11</v>
      </c>
      <c r="G621" s="54">
        <v>43734</v>
      </c>
      <c r="H621" s="53" t="s">
        <v>26</v>
      </c>
      <c r="I621" s="53">
        <v>967</v>
      </c>
      <c r="J621" s="39" t="s">
        <v>33</v>
      </c>
      <c r="K621" s="39" t="s">
        <v>1087</v>
      </c>
      <c r="L621" s="39"/>
      <c r="M621" s="37">
        <v>44041</v>
      </c>
      <c r="N621" s="39">
        <v>5.03</v>
      </c>
      <c r="O621" s="40">
        <v>1527</v>
      </c>
    </row>
    <row r="622" spans="1:16" x14ac:dyDescent="0.55000000000000004">
      <c r="A622" s="24" t="str">
        <f>IF(COUNTIF(B622:$B$5014,B622)&gt;1,IF(COUNTIF($B$5:B622,B622)&gt;1,"",B622&amp;"-I"),B622)</f>
        <v/>
      </c>
      <c r="B622" s="29">
        <f t="shared" si="9"/>
        <v>973</v>
      </c>
      <c r="C622" s="36" t="s">
        <v>635</v>
      </c>
      <c r="D622" s="53">
        <v>781</v>
      </c>
      <c r="E622" s="53" t="s">
        <v>833</v>
      </c>
      <c r="F622" s="53" t="s">
        <v>11</v>
      </c>
      <c r="G622" s="54">
        <v>43735</v>
      </c>
      <c r="H622" s="53" t="s">
        <v>26</v>
      </c>
      <c r="I622" s="53">
        <v>973</v>
      </c>
      <c r="J622" s="39" t="s">
        <v>33</v>
      </c>
      <c r="K622" s="39" t="s">
        <v>1087</v>
      </c>
      <c r="L622" s="39"/>
      <c r="M622" s="37">
        <v>44041</v>
      </c>
      <c r="N622" s="39">
        <v>5.03</v>
      </c>
      <c r="O622" s="40">
        <v>1527</v>
      </c>
    </row>
    <row r="623" spans="1:16" x14ac:dyDescent="0.55000000000000004">
      <c r="A623" s="24" t="str">
        <f>IF(COUNTIF(B623:$B$5014,B623)&gt;1,IF(COUNTIF($B$5:B623,B623)&gt;1,"",B623&amp;"-I"),B623)</f>
        <v/>
      </c>
      <c r="B623" s="29">
        <f t="shared" si="9"/>
        <v>992</v>
      </c>
      <c r="C623" s="36" t="s">
        <v>636</v>
      </c>
      <c r="D623" s="53">
        <v>782</v>
      </c>
      <c r="E623" s="53" t="s">
        <v>833</v>
      </c>
      <c r="F623" s="53" t="s">
        <v>12</v>
      </c>
      <c r="G623" s="54">
        <v>43736</v>
      </c>
      <c r="H623" s="53" t="s">
        <v>1119</v>
      </c>
      <c r="I623" s="53">
        <v>992</v>
      </c>
      <c r="J623" s="39" t="s">
        <v>33</v>
      </c>
      <c r="K623" s="39" t="s">
        <v>1087</v>
      </c>
      <c r="L623" s="39"/>
      <c r="M623" s="37">
        <v>44041</v>
      </c>
      <c r="N623" s="39">
        <v>5.03</v>
      </c>
      <c r="O623" s="40">
        <v>1527</v>
      </c>
    </row>
    <row r="624" spans="1:16" x14ac:dyDescent="0.55000000000000004">
      <c r="A624" s="24" t="str">
        <f>IF(COUNTIF(B624:$B$5014,B624)&gt;1,IF(COUNTIF($B$5:B624,B624)&gt;1,"",B624&amp;"-I"),B624)</f>
        <v/>
      </c>
      <c r="B624" s="29">
        <f t="shared" si="9"/>
        <v>969</v>
      </c>
      <c r="C624" s="36" t="s">
        <v>637</v>
      </c>
      <c r="D624" s="53">
        <v>783</v>
      </c>
      <c r="E624" s="53" t="s">
        <v>833</v>
      </c>
      <c r="F624" s="53" t="s">
        <v>12</v>
      </c>
      <c r="G624" s="54">
        <v>43741</v>
      </c>
      <c r="H624" s="53" t="s">
        <v>26</v>
      </c>
      <c r="I624" s="53">
        <v>969</v>
      </c>
      <c r="J624" s="39" t="s">
        <v>33</v>
      </c>
      <c r="K624" s="39" t="s">
        <v>1087</v>
      </c>
      <c r="L624" s="39"/>
      <c r="M624" s="37">
        <v>44041</v>
      </c>
      <c r="N624" s="39">
        <v>5.03</v>
      </c>
      <c r="O624" s="40">
        <v>1527</v>
      </c>
    </row>
    <row r="625" spans="1:16" x14ac:dyDescent="0.55000000000000004">
      <c r="A625" s="24" t="str">
        <f>IF(COUNTIF(B625:$B$5014,B625)&gt;1,IF(COUNTIF($B$5:B625,B625)&gt;1,"",B625&amp;"-I"),B625)</f>
        <v/>
      </c>
      <c r="B625" s="29">
        <f t="shared" si="9"/>
        <v>873</v>
      </c>
      <c r="C625" s="36" t="s">
        <v>638</v>
      </c>
      <c r="D625" s="53">
        <v>784</v>
      </c>
      <c r="E625" s="53" t="s">
        <v>834</v>
      </c>
      <c r="F625" s="53" t="s">
        <v>11</v>
      </c>
      <c r="G625" s="54">
        <v>43741</v>
      </c>
      <c r="H625" s="53" t="s">
        <v>26</v>
      </c>
      <c r="I625" s="53">
        <v>873</v>
      </c>
      <c r="J625" s="39" t="s">
        <v>33</v>
      </c>
      <c r="K625" s="39" t="s">
        <v>1087</v>
      </c>
      <c r="L625" s="39"/>
      <c r="M625" s="37">
        <v>44041</v>
      </c>
      <c r="N625" s="39">
        <v>5.03</v>
      </c>
      <c r="O625" s="40">
        <v>1527</v>
      </c>
    </row>
    <row r="626" spans="1:16" x14ac:dyDescent="0.55000000000000004">
      <c r="A626" s="24" t="str">
        <f>IF(COUNTIF(B626:$B$5014,B626)&gt;1,IF(COUNTIF($B$5:B626,B626)&gt;1,"",B626&amp;"-I"),B626)</f>
        <v/>
      </c>
      <c r="B626" s="29">
        <f t="shared" si="9"/>
        <v>966</v>
      </c>
      <c r="C626" s="36" t="s">
        <v>639</v>
      </c>
      <c r="D626" s="53">
        <v>785</v>
      </c>
      <c r="E626" s="53" t="s">
        <v>833</v>
      </c>
      <c r="F626" s="53" t="s">
        <v>12</v>
      </c>
      <c r="G626" s="54">
        <v>43747</v>
      </c>
      <c r="H626" s="53">
        <v>1055</v>
      </c>
      <c r="I626" s="53">
        <v>966</v>
      </c>
      <c r="J626" s="39" t="s">
        <v>33</v>
      </c>
      <c r="K626" s="39" t="s">
        <v>1087</v>
      </c>
      <c r="L626" s="39"/>
      <c r="M626" s="37">
        <v>44041</v>
      </c>
      <c r="N626" s="39">
        <v>5.03</v>
      </c>
      <c r="O626" s="40">
        <v>1527</v>
      </c>
    </row>
    <row r="627" spans="1:16" x14ac:dyDescent="0.55000000000000004">
      <c r="A627" s="24" t="str">
        <f>IF(COUNTIF(B627:$B$5014,B627)&gt;1,IF(COUNTIF($B$5:B627,B627)&gt;1,"",B627&amp;"-I"),B627)</f>
        <v/>
      </c>
      <c r="B627" s="29">
        <f t="shared" si="9"/>
        <v>981</v>
      </c>
      <c r="C627" s="36" t="s">
        <v>640</v>
      </c>
      <c r="D627" s="53">
        <v>786</v>
      </c>
      <c r="E627" s="53" t="s">
        <v>833</v>
      </c>
      <c r="F627" s="53" t="s">
        <v>11</v>
      </c>
      <c r="G627" s="54">
        <v>43747</v>
      </c>
      <c r="H627" s="53">
        <v>1055</v>
      </c>
      <c r="I627" s="53">
        <v>981</v>
      </c>
      <c r="J627" s="39" t="s">
        <v>33</v>
      </c>
      <c r="K627" s="39" t="s">
        <v>1087</v>
      </c>
      <c r="L627" s="39"/>
      <c r="M627" s="37">
        <v>44041</v>
      </c>
      <c r="N627" s="39">
        <v>5.03</v>
      </c>
      <c r="O627" s="40">
        <v>1527</v>
      </c>
      <c r="P627" s="24" t="s">
        <v>914</v>
      </c>
    </row>
    <row r="628" spans="1:16" x14ac:dyDescent="0.55000000000000004">
      <c r="A628" s="24" t="str">
        <f>IF(COUNTIF(B628:$B$5014,B628)&gt;1,IF(COUNTIF($B$5:B628,B628)&gt;1,"",B628&amp;"-I"),B628)</f>
        <v/>
      </c>
      <c r="B628" s="29">
        <f t="shared" si="9"/>
        <v>936</v>
      </c>
      <c r="C628" s="36" t="s">
        <v>641</v>
      </c>
      <c r="D628" s="53">
        <v>787</v>
      </c>
      <c r="E628" s="53" t="s">
        <v>834</v>
      </c>
      <c r="F628" s="53" t="s">
        <v>11</v>
      </c>
      <c r="G628" s="54">
        <v>43751</v>
      </c>
      <c r="H628" s="53">
        <v>1055</v>
      </c>
      <c r="I628" s="53">
        <v>936</v>
      </c>
      <c r="J628" s="39" t="s">
        <v>33</v>
      </c>
      <c r="K628" s="39" t="s">
        <v>1087</v>
      </c>
      <c r="L628" s="39"/>
      <c r="M628" s="37">
        <v>44041</v>
      </c>
      <c r="N628" s="39">
        <v>5.03</v>
      </c>
      <c r="O628" s="40">
        <v>1527</v>
      </c>
    </row>
    <row r="629" spans="1:16" x14ac:dyDescent="0.55000000000000004">
      <c r="A629" s="24" t="str">
        <f>IF(COUNTIF(B629:$B$5014,B629)&gt;1,IF(COUNTIF($B$5:B629,B629)&gt;1,"",B629&amp;"-I"),B629)</f>
        <v/>
      </c>
      <c r="B629" s="29">
        <f t="shared" si="9"/>
        <v>959</v>
      </c>
      <c r="C629" s="36" t="s">
        <v>642</v>
      </c>
      <c r="D629" s="53">
        <v>788</v>
      </c>
      <c r="E629" s="53" t="s">
        <v>833</v>
      </c>
      <c r="F629" s="53" t="s">
        <v>12</v>
      </c>
      <c r="G629" s="54">
        <v>43752</v>
      </c>
      <c r="H629" s="53" t="s">
        <v>26</v>
      </c>
      <c r="I629" s="53">
        <v>959</v>
      </c>
      <c r="J629" s="39" t="s">
        <v>33</v>
      </c>
      <c r="K629" s="39" t="s">
        <v>1087</v>
      </c>
      <c r="L629" s="39"/>
      <c r="M629" s="37">
        <v>44041</v>
      </c>
      <c r="N629" s="39">
        <v>5.03</v>
      </c>
      <c r="O629" s="40">
        <v>1527</v>
      </c>
    </row>
    <row r="630" spans="1:16" x14ac:dyDescent="0.55000000000000004">
      <c r="A630" s="24">
        <f>IF(COUNTIF(B630:$B$5014,B630)&gt;1,IF(COUNTIF($B$5:B630,B630)&gt;1,"",B630&amp;"-I"),B630)</f>
        <v>965</v>
      </c>
      <c r="B630" s="29">
        <f t="shared" si="9"/>
        <v>965</v>
      </c>
      <c r="C630" s="36" t="s">
        <v>643</v>
      </c>
      <c r="D630" s="53">
        <v>789</v>
      </c>
      <c r="E630" s="53" t="s">
        <v>834</v>
      </c>
      <c r="F630" s="53" t="s">
        <v>12</v>
      </c>
      <c r="G630" s="54">
        <v>43763</v>
      </c>
      <c r="H630" s="53" t="s">
        <v>26</v>
      </c>
      <c r="I630" s="53">
        <v>965</v>
      </c>
      <c r="J630" s="39" t="s">
        <v>33</v>
      </c>
      <c r="K630" s="39" t="s">
        <v>1087</v>
      </c>
      <c r="L630" s="39"/>
      <c r="M630" s="37">
        <v>44041</v>
      </c>
      <c r="N630" s="39">
        <v>5.03</v>
      </c>
      <c r="O630" s="40">
        <v>1527</v>
      </c>
    </row>
    <row r="631" spans="1:16" x14ac:dyDescent="0.55000000000000004">
      <c r="A631" s="24" t="str">
        <f>IF(COUNTIF(B631:$B$5014,B631)&gt;1,IF(COUNTIF($B$5:B631,B631)&gt;1,"",B631&amp;"-I"),B631)</f>
        <v/>
      </c>
      <c r="B631" s="29">
        <f t="shared" si="9"/>
        <v>946</v>
      </c>
      <c r="C631" s="36" t="s">
        <v>644</v>
      </c>
      <c r="D631" s="53">
        <v>790</v>
      </c>
      <c r="E631" s="53" t="s">
        <v>834</v>
      </c>
      <c r="F631" s="53" t="s">
        <v>11</v>
      </c>
      <c r="G631" s="54">
        <v>43763</v>
      </c>
      <c r="H631" s="53">
        <v>1055</v>
      </c>
      <c r="I631" s="53">
        <v>946</v>
      </c>
      <c r="J631" s="39" t="s">
        <v>33</v>
      </c>
      <c r="K631" s="39" t="s">
        <v>1087</v>
      </c>
      <c r="L631" s="39"/>
      <c r="M631" s="37">
        <v>44041</v>
      </c>
      <c r="N631" s="39">
        <v>5.03</v>
      </c>
      <c r="O631" s="40">
        <v>1527</v>
      </c>
    </row>
    <row r="632" spans="1:16" x14ac:dyDescent="0.55000000000000004">
      <c r="A632" s="24" t="str">
        <f>IF(COUNTIF(B632:$B$5014,B632)&gt;1,IF(COUNTIF($B$5:B632,B632)&gt;1,"",B632&amp;"-I"),B632)</f>
        <v/>
      </c>
      <c r="B632" s="29">
        <f t="shared" si="9"/>
        <v>987</v>
      </c>
      <c r="C632" s="36" t="s">
        <v>645</v>
      </c>
      <c r="D632" s="53">
        <v>791</v>
      </c>
      <c r="E632" s="53" t="s">
        <v>834</v>
      </c>
      <c r="F632" s="53" t="s">
        <v>11</v>
      </c>
      <c r="G632" s="54">
        <v>43767</v>
      </c>
      <c r="H632" s="53">
        <v>1055</v>
      </c>
      <c r="I632" s="53">
        <v>987</v>
      </c>
      <c r="J632" s="39" t="s">
        <v>33</v>
      </c>
      <c r="K632" s="39" t="s">
        <v>1087</v>
      </c>
      <c r="L632" s="39"/>
      <c r="M632" s="37">
        <v>44041</v>
      </c>
      <c r="N632" s="39">
        <v>5.03</v>
      </c>
      <c r="O632" s="40">
        <v>1527</v>
      </c>
    </row>
    <row r="633" spans="1:16" x14ac:dyDescent="0.55000000000000004">
      <c r="A633" s="24" t="str">
        <f>IF(COUNTIF(B633:$B$5014,B633)&gt;1,IF(COUNTIF($B$5:B633,B633)&gt;1,"",B633&amp;"-I"),B633)</f>
        <v/>
      </c>
      <c r="B633" s="29">
        <f t="shared" si="9"/>
        <v>947</v>
      </c>
      <c r="C633" s="36" t="s">
        <v>646</v>
      </c>
      <c r="D633" s="53">
        <v>792</v>
      </c>
      <c r="E633" s="53" t="s">
        <v>833</v>
      </c>
      <c r="F633" s="53" t="s">
        <v>11</v>
      </c>
      <c r="G633" s="54">
        <v>43772</v>
      </c>
      <c r="H633" s="53">
        <v>1055</v>
      </c>
      <c r="I633" s="53">
        <v>947</v>
      </c>
      <c r="J633" s="39" t="s">
        <v>33</v>
      </c>
      <c r="K633" s="39" t="s">
        <v>1087</v>
      </c>
      <c r="L633" s="39"/>
      <c r="M633" s="37">
        <v>44041</v>
      </c>
      <c r="N633" s="39">
        <v>5.03</v>
      </c>
      <c r="O633" s="40">
        <v>1527</v>
      </c>
    </row>
    <row r="634" spans="1:16" x14ac:dyDescent="0.55000000000000004">
      <c r="A634" s="24" t="str">
        <f>IF(COUNTIF(B634:$B$5014,B634)&gt;1,IF(COUNTIF($B$5:B634,B634)&gt;1,"",B634&amp;"-I"),B634)</f>
        <v/>
      </c>
      <c r="B634" s="29">
        <f t="shared" si="9"/>
        <v>880</v>
      </c>
      <c r="C634" s="36" t="s">
        <v>647</v>
      </c>
      <c r="D634" s="53">
        <v>793</v>
      </c>
      <c r="E634" s="53" t="s">
        <v>833</v>
      </c>
      <c r="F634" s="53" t="s">
        <v>12</v>
      </c>
      <c r="G634" s="54">
        <v>43781</v>
      </c>
      <c r="H634" s="53">
        <v>1055</v>
      </c>
      <c r="I634" s="53">
        <v>880</v>
      </c>
      <c r="J634" s="39" t="s">
        <v>33</v>
      </c>
      <c r="K634" s="39" t="s">
        <v>1087</v>
      </c>
      <c r="L634" s="39"/>
      <c r="M634" s="37">
        <v>44041</v>
      </c>
      <c r="N634" s="39">
        <v>5.03</v>
      </c>
      <c r="O634" s="40">
        <v>1527</v>
      </c>
    </row>
    <row r="635" spans="1:16" x14ac:dyDescent="0.55000000000000004">
      <c r="A635" s="24" t="str">
        <f>IF(COUNTIF(B635:$B$5014,B635)&gt;1,IF(COUNTIF($B$5:B635,B635)&gt;1,"",B635&amp;"-I"),B635)</f>
        <v/>
      </c>
      <c r="B635" s="29">
        <f t="shared" si="9"/>
        <v>976</v>
      </c>
      <c r="C635" s="36" t="s">
        <v>648</v>
      </c>
      <c r="D635" s="53">
        <v>794</v>
      </c>
      <c r="E635" s="53" t="s">
        <v>833</v>
      </c>
      <c r="F635" s="53" t="s">
        <v>11</v>
      </c>
      <c r="G635" s="54">
        <v>43783</v>
      </c>
      <c r="H635" s="53">
        <v>1055</v>
      </c>
      <c r="I635" s="53">
        <v>976</v>
      </c>
      <c r="J635" s="39" t="s">
        <v>33</v>
      </c>
      <c r="K635" s="39" t="s">
        <v>1087</v>
      </c>
      <c r="L635" s="39"/>
      <c r="M635" s="37">
        <v>44041</v>
      </c>
      <c r="N635" s="39">
        <v>5.03</v>
      </c>
      <c r="O635" s="40">
        <v>1527</v>
      </c>
    </row>
    <row r="636" spans="1:16" x14ac:dyDescent="0.55000000000000004">
      <c r="A636" s="24" t="str">
        <f>IF(COUNTIF(B636:$B$5014,B636)&gt;1,IF(COUNTIF($B$5:B636,B636)&gt;1,"",B636&amp;"-I"),B636)</f>
        <v/>
      </c>
      <c r="B636" s="29">
        <f t="shared" si="9"/>
        <v>931</v>
      </c>
      <c r="C636" s="36" t="s">
        <v>649</v>
      </c>
      <c r="D636" s="53">
        <v>795</v>
      </c>
      <c r="E636" s="53" t="s">
        <v>834</v>
      </c>
      <c r="F636" s="53" t="s">
        <v>11</v>
      </c>
      <c r="G636" s="54">
        <v>43786</v>
      </c>
      <c r="H636" s="53" t="s">
        <v>26</v>
      </c>
      <c r="I636" s="53">
        <v>931</v>
      </c>
      <c r="J636" s="39" t="s">
        <v>33</v>
      </c>
      <c r="K636" s="39" t="s">
        <v>1087</v>
      </c>
      <c r="L636" s="39"/>
      <c r="M636" s="37">
        <v>44041</v>
      </c>
      <c r="N636" s="39">
        <v>5.03</v>
      </c>
      <c r="O636" s="40">
        <v>1527</v>
      </c>
    </row>
    <row r="637" spans="1:16" x14ac:dyDescent="0.55000000000000004">
      <c r="A637" s="24" t="str">
        <f>IF(COUNTIF(B637:$B$5014,B637)&gt;1,IF(COUNTIF($B$5:B637,B637)&gt;1,"",B637&amp;"-I"),B637)</f>
        <v/>
      </c>
      <c r="B637" s="29">
        <f t="shared" si="9"/>
        <v>990</v>
      </c>
      <c r="C637" s="85" t="s">
        <v>650</v>
      </c>
      <c r="D637" s="72" t="s">
        <v>13</v>
      </c>
      <c r="E637" s="72" t="s">
        <v>834</v>
      </c>
      <c r="F637" s="72" t="s">
        <v>12</v>
      </c>
      <c r="G637" s="86">
        <v>43786</v>
      </c>
      <c r="H637" s="72">
        <v>1055</v>
      </c>
      <c r="I637" s="72">
        <v>990</v>
      </c>
      <c r="J637" s="47" t="s">
        <v>33</v>
      </c>
      <c r="K637" s="47" t="s">
        <v>1157</v>
      </c>
      <c r="L637" s="39" t="s">
        <v>891</v>
      </c>
      <c r="M637" s="47" t="s">
        <v>892</v>
      </c>
      <c r="N637" s="47" t="s">
        <v>893</v>
      </c>
      <c r="O637" s="50" t="s">
        <v>894</v>
      </c>
    </row>
    <row r="638" spans="1:16" x14ac:dyDescent="0.55000000000000004">
      <c r="A638" s="24" t="str">
        <f>IF(COUNTIF(B638:$B$5014,B638)&gt;1,IF(COUNTIF($B$5:B638,B638)&gt;1,"",B638&amp;"-I"),B638)</f>
        <v/>
      </c>
      <c r="B638" s="29">
        <f t="shared" si="9"/>
        <v>977</v>
      </c>
      <c r="C638" s="36" t="s">
        <v>651</v>
      </c>
      <c r="D638" s="53">
        <v>796</v>
      </c>
      <c r="E638" s="53" t="s">
        <v>833</v>
      </c>
      <c r="F638" s="53" t="s">
        <v>12</v>
      </c>
      <c r="G638" s="54">
        <v>43792</v>
      </c>
      <c r="H638" s="53">
        <v>1055</v>
      </c>
      <c r="I638" s="53">
        <v>977</v>
      </c>
      <c r="J638" s="39" t="s">
        <v>33</v>
      </c>
      <c r="K638" s="39" t="s">
        <v>1087</v>
      </c>
      <c r="L638" s="39"/>
      <c r="M638" s="37">
        <v>44041</v>
      </c>
      <c r="N638" s="39">
        <v>5.03</v>
      </c>
      <c r="O638" s="40">
        <v>1527</v>
      </c>
    </row>
    <row r="639" spans="1:16" x14ac:dyDescent="0.55000000000000004">
      <c r="A639" s="24" t="str">
        <f>IF(COUNTIF(B639:$B$5014,B639)&gt;1,IF(COUNTIF($B$5:B639,B639)&gt;1,"",B639&amp;"-I"),B639)</f>
        <v/>
      </c>
      <c r="B639" s="29">
        <f t="shared" si="9"/>
        <v>884</v>
      </c>
      <c r="C639" s="36" t="s">
        <v>652</v>
      </c>
      <c r="D639" s="53">
        <v>797</v>
      </c>
      <c r="E639" s="53" t="s">
        <v>833</v>
      </c>
      <c r="F639" s="53" t="s">
        <v>12</v>
      </c>
      <c r="G639" s="54">
        <v>43796</v>
      </c>
      <c r="H639" s="53">
        <v>1043</v>
      </c>
      <c r="I639" s="53">
        <v>884</v>
      </c>
      <c r="J639" s="39" t="s">
        <v>33</v>
      </c>
      <c r="K639" s="39" t="s">
        <v>1087</v>
      </c>
      <c r="L639" s="39"/>
      <c r="M639" s="37">
        <v>44041</v>
      </c>
      <c r="N639" s="39">
        <v>5.03</v>
      </c>
      <c r="O639" s="40">
        <v>1527</v>
      </c>
    </row>
    <row r="640" spans="1:16" x14ac:dyDescent="0.55000000000000004">
      <c r="A640" s="24" t="str">
        <f>IF(COUNTIF(B640:$B$5014,B640)&gt;1,IF(COUNTIF($B$5:B640,B640)&gt;1,"",B640&amp;"-I"),B640)</f>
        <v/>
      </c>
      <c r="B640" s="29">
        <f t="shared" si="9"/>
        <v>984</v>
      </c>
      <c r="C640" s="36" t="s">
        <v>653</v>
      </c>
      <c r="D640" s="53">
        <v>798</v>
      </c>
      <c r="E640" s="53" t="s">
        <v>834</v>
      </c>
      <c r="F640" s="53" t="s">
        <v>11</v>
      </c>
      <c r="G640" s="54">
        <v>43798</v>
      </c>
      <c r="H640" s="53">
        <v>1055</v>
      </c>
      <c r="I640" s="53">
        <v>984</v>
      </c>
      <c r="J640" s="39" t="s">
        <v>33</v>
      </c>
      <c r="K640" s="39" t="s">
        <v>1087</v>
      </c>
      <c r="L640" s="39"/>
      <c r="M640" s="37">
        <v>44041</v>
      </c>
      <c r="N640" s="39">
        <v>5.03</v>
      </c>
      <c r="O640" s="40">
        <v>1527</v>
      </c>
      <c r="P640" s="24" t="s">
        <v>914</v>
      </c>
    </row>
    <row r="641" spans="1:15" x14ac:dyDescent="0.55000000000000004">
      <c r="A641" s="24" t="str">
        <f>IF(COUNTIF(B641:$B$5014,B641)&gt;1,IF(COUNTIF($B$5:B641,B641)&gt;1,"",B641&amp;"-I"),B641)</f>
        <v/>
      </c>
      <c r="B641" s="29">
        <f t="shared" si="9"/>
        <v>993</v>
      </c>
      <c r="C641" s="36" t="s">
        <v>654</v>
      </c>
      <c r="D641" s="53">
        <v>799</v>
      </c>
      <c r="E641" s="53" t="s">
        <v>833</v>
      </c>
      <c r="F641" s="53" t="s">
        <v>11</v>
      </c>
      <c r="G641" s="54">
        <v>43802</v>
      </c>
      <c r="H641" s="53">
        <v>1055</v>
      </c>
      <c r="I641" s="53">
        <v>993</v>
      </c>
      <c r="J641" s="39" t="s">
        <v>33</v>
      </c>
      <c r="K641" s="39" t="s">
        <v>1087</v>
      </c>
      <c r="L641" s="39"/>
      <c r="M641" s="37">
        <v>44041</v>
      </c>
      <c r="N641" s="39">
        <v>5.03</v>
      </c>
      <c r="O641" s="40">
        <v>1527</v>
      </c>
    </row>
    <row r="642" spans="1:15" x14ac:dyDescent="0.55000000000000004">
      <c r="A642" s="24" t="str">
        <f>IF(COUNTIF(B642:$B$5014,B642)&gt;1,IF(COUNTIF($B$5:B642,B642)&gt;1,"",B642&amp;"-I"),B642)</f>
        <v>1010-I</v>
      </c>
      <c r="B642" s="29">
        <f t="shared" si="9"/>
        <v>1010</v>
      </c>
      <c r="C642" s="36" t="s">
        <v>655</v>
      </c>
      <c r="D642" s="53">
        <v>800</v>
      </c>
      <c r="E642" s="53" t="s">
        <v>833</v>
      </c>
      <c r="F642" s="53" t="s">
        <v>12</v>
      </c>
      <c r="G642" s="54">
        <v>43805</v>
      </c>
      <c r="H642" s="53" t="s">
        <v>883</v>
      </c>
      <c r="I642" s="53">
        <v>1010</v>
      </c>
      <c r="J642" s="39" t="s">
        <v>33</v>
      </c>
      <c r="K642" s="39" t="s">
        <v>1087</v>
      </c>
      <c r="L642" s="39"/>
      <c r="M642" s="37">
        <v>44041</v>
      </c>
      <c r="N642" s="39">
        <v>5.03</v>
      </c>
      <c r="O642" s="40">
        <v>1527</v>
      </c>
    </row>
    <row r="643" spans="1:15" x14ac:dyDescent="0.55000000000000004">
      <c r="A643" s="24" t="str">
        <f>IF(COUNTIF(B643:$B$5014,B643)&gt;1,IF(COUNTIF($B$5:B643,B643)&gt;1,"",B643&amp;"-I"),B643)</f>
        <v/>
      </c>
      <c r="B643" s="29">
        <f t="shared" si="9"/>
        <v>930</v>
      </c>
      <c r="C643" s="36" t="s">
        <v>656</v>
      </c>
      <c r="D643" s="53">
        <v>801</v>
      </c>
      <c r="E643" s="53" t="s">
        <v>833</v>
      </c>
      <c r="F643" s="53" t="s">
        <v>11</v>
      </c>
      <c r="G643" s="54">
        <v>43805</v>
      </c>
      <c r="H643" s="53" t="s">
        <v>26</v>
      </c>
      <c r="I643" s="53">
        <v>930</v>
      </c>
      <c r="J643" s="39" t="s">
        <v>33</v>
      </c>
      <c r="K643" s="39" t="s">
        <v>1087</v>
      </c>
      <c r="L643" s="39"/>
      <c r="M643" s="37">
        <v>44041</v>
      </c>
      <c r="N643" s="39">
        <v>5.03</v>
      </c>
      <c r="O643" s="40">
        <v>1527</v>
      </c>
    </row>
    <row r="644" spans="1:15" x14ac:dyDescent="0.55000000000000004">
      <c r="A644" s="24" t="str">
        <f>IF(COUNTIF(B644:$B$5014,B644)&gt;1,IF(COUNTIF($B$5:B644,B644)&gt;1,"",B644&amp;"-I"),B644)</f>
        <v/>
      </c>
      <c r="B644" s="29">
        <f t="shared" si="9"/>
        <v>862</v>
      </c>
      <c r="C644" s="36" t="s">
        <v>657</v>
      </c>
      <c r="D644" s="53">
        <v>802</v>
      </c>
      <c r="E644" s="53" t="s">
        <v>833</v>
      </c>
      <c r="F644" s="53" t="s">
        <v>11</v>
      </c>
      <c r="G644" s="54">
        <v>43810</v>
      </c>
      <c r="H644" s="53" t="s">
        <v>26</v>
      </c>
      <c r="I644" s="53">
        <v>862</v>
      </c>
      <c r="J644" s="39" t="s">
        <v>33</v>
      </c>
      <c r="K644" s="39" t="s">
        <v>1087</v>
      </c>
      <c r="L644" s="39"/>
      <c r="M644" s="37">
        <v>44041</v>
      </c>
      <c r="N644" s="39">
        <v>5.03</v>
      </c>
      <c r="O644" s="40">
        <v>1527</v>
      </c>
    </row>
    <row r="645" spans="1:15" x14ac:dyDescent="0.55000000000000004">
      <c r="A645" s="24" t="str">
        <f>IF(COUNTIF(B645:$B$5014,B645)&gt;1,IF(COUNTIF($B$5:B645,B645)&gt;1,"",B645&amp;"-I"),B645)</f>
        <v>1009-I</v>
      </c>
      <c r="B645" s="29">
        <f t="shared" ref="B645:B708" si="10">+I645</f>
        <v>1009</v>
      </c>
      <c r="C645" s="36" t="s">
        <v>658</v>
      </c>
      <c r="D645" s="53">
        <v>803</v>
      </c>
      <c r="E645" s="53" t="s">
        <v>834</v>
      </c>
      <c r="F645" s="53" t="s">
        <v>11</v>
      </c>
      <c r="G645" s="54">
        <v>43811</v>
      </c>
      <c r="H645" s="53" t="s">
        <v>884</v>
      </c>
      <c r="I645" s="53">
        <v>1009</v>
      </c>
      <c r="J645" s="39" t="s">
        <v>33</v>
      </c>
      <c r="K645" s="39" t="s">
        <v>1087</v>
      </c>
      <c r="L645" s="39"/>
      <c r="M645" s="37">
        <v>44041</v>
      </c>
      <c r="N645" s="39">
        <v>5.03</v>
      </c>
      <c r="O645" s="40">
        <v>1527</v>
      </c>
    </row>
    <row r="646" spans="1:15" x14ac:dyDescent="0.55000000000000004">
      <c r="A646" s="24">
        <f>IF(COUNTIF(B646:$B$5014,B646)&gt;1,IF(COUNTIF($B$5:B646,B646)&gt;1,"",B646&amp;"-I"),B646)</f>
        <v>1008</v>
      </c>
      <c r="B646" s="29">
        <f t="shared" si="10"/>
        <v>1008</v>
      </c>
      <c r="C646" s="85" t="s">
        <v>659</v>
      </c>
      <c r="D646" s="72" t="s">
        <v>13</v>
      </c>
      <c r="E646" s="72" t="s">
        <v>834</v>
      </c>
      <c r="F646" s="72" t="s">
        <v>12</v>
      </c>
      <c r="G646" s="86">
        <v>43811</v>
      </c>
      <c r="H646" s="72" t="s">
        <v>884</v>
      </c>
      <c r="I646" s="72">
        <v>1008</v>
      </c>
      <c r="J646" s="47" t="s">
        <v>33</v>
      </c>
      <c r="K646" s="47" t="s">
        <v>1157</v>
      </c>
      <c r="L646" s="39" t="s">
        <v>895</v>
      </c>
      <c r="M646" s="47" t="s">
        <v>864</v>
      </c>
      <c r="N646" s="47" t="s">
        <v>864</v>
      </c>
      <c r="O646" s="50" t="s">
        <v>864</v>
      </c>
    </row>
    <row r="647" spans="1:15" x14ac:dyDescent="0.55000000000000004">
      <c r="A647" s="24" t="str">
        <f>IF(COUNTIF(B647:$B$5014,B647)&gt;1,IF(COUNTIF($B$5:B647,B647)&gt;1,"",B647&amp;"-I"),B647)</f>
        <v/>
      </c>
      <c r="B647" s="29">
        <f t="shared" si="10"/>
        <v>972</v>
      </c>
      <c r="C647" s="36" t="s">
        <v>660</v>
      </c>
      <c r="D647" s="53">
        <v>804</v>
      </c>
      <c r="E647" s="53" t="s">
        <v>833</v>
      </c>
      <c r="F647" s="53" t="s">
        <v>11</v>
      </c>
      <c r="G647" s="54">
        <v>43813</v>
      </c>
      <c r="H647" s="53">
        <v>1055</v>
      </c>
      <c r="I647" s="53">
        <v>972</v>
      </c>
      <c r="J647" s="39" t="s">
        <v>33</v>
      </c>
      <c r="K647" s="39" t="s">
        <v>1087</v>
      </c>
      <c r="L647" s="39"/>
      <c r="M647" s="37">
        <v>44041</v>
      </c>
      <c r="N647" s="39">
        <v>5.03</v>
      </c>
      <c r="O647" s="40">
        <v>1527</v>
      </c>
    </row>
    <row r="648" spans="1:15" x14ac:dyDescent="0.55000000000000004">
      <c r="A648" s="24" t="str">
        <f>IF(COUNTIF(B648:$B$5014,B648)&gt;1,IF(COUNTIF($B$5:B648,B648)&gt;1,"",B648&amp;"-I"),B648)</f>
        <v/>
      </c>
      <c r="B648" s="29">
        <f t="shared" si="10"/>
        <v>945</v>
      </c>
      <c r="C648" s="36" t="s">
        <v>661</v>
      </c>
      <c r="D648" s="53">
        <v>805</v>
      </c>
      <c r="E648" s="53" t="s">
        <v>833</v>
      </c>
      <c r="F648" s="53" t="s">
        <v>11</v>
      </c>
      <c r="G648" s="54">
        <v>43814</v>
      </c>
      <c r="H648" s="53">
        <v>1055</v>
      </c>
      <c r="I648" s="53">
        <v>945</v>
      </c>
      <c r="J648" s="39" t="s">
        <v>33</v>
      </c>
      <c r="K648" s="39" t="s">
        <v>1087</v>
      </c>
      <c r="L648" s="39"/>
      <c r="M648" s="37">
        <v>44041</v>
      </c>
      <c r="N648" s="39">
        <v>5.03</v>
      </c>
      <c r="O648" s="40">
        <v>1527</v>
      </c>
    </row>
    <row r="649" spans="1:15" x14ac:dyDescent="0.55000000000000004">
      <c r="A649" s="24" t="str">
        <f>IF(COUNTIF(B649:$B$5014,B649)&gt;1,IF(COUNTIF($B$5:B649,B649)&gt;1,"",B649&amp;"-I"),B649)</f>
        <v/>
      </c>
      <c r="B649" s="29">
        <f t="shared" si="10"/>
        <v>954</v>
      </c>
      <c r="C649" s="85" t="s">
        <v>662</v>
      </c>
      <c r="D649" s="72">
        <v>806</v>
      </c>
      <c r="E649" s="72" t="s">
        <v>834</v>
      </c>
      <c r="F649" s="72" t="s">
        <v>12</v>
      </c>
      <c r="G649" s="86">
        <v>43818</v>
      </c>
      <c r="H649" s="72" t="s">
        <v>26</v>
      </c>
      <c r="I649" s="72">
        <v>954</v>
      </c>
      <c r="J649" s="47" t="s">
        <v>33</v>
      </c>
      <c r="K649" s="47" t="s">
        <v>1158</v>
      </c>
      <c r="L649" s="39" t="s">
        <v>900</v>
      </c>
      <c r="M649" s="87">
        <v>43972</v>
      </c>
      <c r="N649" s="47">
        <v>4.01</v>
      </c>
      <c r="O649" s="50" t="s">
        <v>864</v>
      </c>
    </row>
    <row r="650" spans="1:15" x14ac:dyDescent="0.55000000000000004">
      <c r="A650" s="24" t="str">
        <f>IF(COUNTIF(B650:$B$5014,B650)&gt;1,IF(COUNTIF($B$5:B650,B650)&gt;1,"",B650&amp;"-I"),B650)</f>
        <v/>
      </c>
      <c r="B650" s="29">
        <f t="shared" si="10"/>
        <v>889</v>
      </c>
      <c r="C650" s="36" t="s">
        <v>663</v>
      </c>
      <c r="D650" s="53">
        <v>807</v>
      </c>
      <c r="E650" s="53" t="s">
        <v>834</v>
      </c>
      <c r="F650" s="53" t="s">
        <v>12</v>
      </c>
      <c r="G650" s="54">
        <v>43819</v>
      </c>
      <c r="H650" s="53">
        <v>1055</v>
      </c>
      <c r="I650" s="53">
        <v>889</v>
      </c>
      <c r="J650" s="39" t="s">
        <v>33</v>
      </c>
      <c r="K650" s="39" t="s">
        <v>1087</v>
      </c>
      <c r="L650" s="39"/>
      <c r="M650" s="37">
        <v>44041</v>
      </c>
      <c r="N650" s="39">
        <v>5.03</v>
      </c>
      <c r="O650" s="40">
        <v>1527</v>
      </c>
    </row>
    <row r="651" spans="1:15" x14ac:dyDescent="0.55000000000000004">
      <c r="A651" s="24" t="str">
        <f>IF(COUNTIF(B651:$B$5014,B651)&gt;1,IF(COUNTIF($B$5:B651,B651)&gt;1,"",B651&amp;"-I"),B651)</f>
        <v>1011-I</v>
      </c>
      <c r="B651" s="29">
        <f t="shared" si="10"/>
        <v>1011</v>
      </c>
      <c r="C651" s="36" t="s">
        <v>664</v>
      </c>
      <c r="D651" s="53">
        <v>808</v>
      </c>
      <c r="E651" s="53" t="s">
        <v>834</v>
      </c>
      <c r="F651" s="53" t="s">
        <v>11</v>
      </c>
      <c r="G651" s="54">
        <v>43821</v>
      </c>
      <c r="H651" s="53" t="s">
        <v>882</v>
      </c>
      <c r="I651" s="53">
        <v>1011</v>
      </c>
      <c r="J651" s="39" t="s">
        <v>33</v>
      </c>
      <c r="K651" s="39" t="s">
        <v>1087</v>
      </c>
      <c r="L651" s="39"/>
      <c r="M651" s="37">
        <v>44041</v>
      </c>
      <c r="N651" s="88">
        <v>5.03</v>
      </c>
      <c r="O651" s="40">
        <v>1527</v>
      </c>
    </row>
    <row r="652" spans="1:15" x14ac:dyDescent="0.55000000000000004">
      <c r="A652" s="24" t="str">
        <f>IF(COUNTIF(B652:$B$5014,B652)&gt;1,IF(COUNTIF($B$5:B652,B652)&gt;1,"",B652&amp;"-I"),B652)</f>
        <v/>
      </c>
      <c r="B652" s="29">
        <f t="shared" si="10"/>
        <v>858</v>
      </c>
      <c r="C652" s="36" t="s">
        <v>665</v>
      </c>
      <c r="D652" s="53">
        <v>809</v>
      </c>
      <c r="E652" s="53" t="s">
        <v>833</v>
      </c>
      <c r="F652" s="53" t="s">
        <v>12</v>
      </c>
      <c r="G652" s="54">
        <v>43825</v>
      </c>
      <c r="H652" s="53">
        <v>1055</v>
      </c>
      <c r="I652" s="53">
        <v>858</v>
      </c>
      <c r="J652" s="39" t="s">
        <v>33</v>
      </c>
      <c r="K652" s="39" t="s">
        <v>1087</v>
      </c>
      <c r="L652" s="39"/>
      <c r="M652" s="37">
        <v>44041</v>
      </c>
      <c r="N652" s="39">
        <v>5.03</v>
      </c>
      <c r="O652" s="40">
        <v>1527</v>
      </c>
    </row>
    <row r="653" spans="1:15" x14ac:dyDescent="0.55000000000000004">
      <c r="A653" s="24" t="str">
        <f>IF(COUNTIF(B653:$B$5014,B653)&gt;1,IF(COUNTIF($B$5:B653,B653)&gt;1,"",B653&amp;"-I"),B653)</f>
        <v/>
      </c>
      <c r="B653" s="29">
        <f t="shared" si="10"/>
        <v>863</v>
      </c>
      <c r="C653" s="36" t="s">
        <v>666</v>
      </c>
      <c r="D653" s="53">
        <v>810</v>
      </c>
      <c r="E653" s="53" t="s">
        <v>833</v>
      </c>
      <c r="F653" s="53" t="s">
        <v>11</v>
      </c>
      <c r="G653" s="54">
        <v>43827</v>
      </c>
      <c r="H653" s="53" t="s">
        <v>26</v>
      </c>
      <c r="I653" s="53">
        <v>863</v>
      </c>
      <c r="J653" s="39" t="s">
        <v>33</v>
      </c>
      <c r="K653" s="39" t="s">
        <v>1087</v>
      </c>
      <c r="L653" s="39"/>
      <c r="M653" s="37">
        <v>44041</v>
      </c>
      <c r="N653" s="39">
        <v>5.03</v>
      </c>
      <c r="O653" s="40">
        <v>1527</v>
      </c>
    </row>
    <row r="654" spans="1:15" x14ac:dyDescent="0.55000000000000004">
      <c r="A654" s="24">
        <f>IF(COUNTIF(B654:$B$5014,B654)&gt;1,IF(COUNTIF($B$5:B654,B654)&gt;1,"",B654&amp;"-I"),B654)</f>
        <v>872</v>
      </c>
      <c r="B654" s="29">
        <f t="shared" si="10"/>
        <v>872</v>
      </c>
      <c r="C654" s="36" t="s">
        <v>667</v>
      </c>
      <c r="D654" s="53">
        <v>811</v>
      </c>
      <c r="E654" s="53" t="s">
        <v>834</v>
      </c>
      <c r="F654" s="53" t="s">
        <v>11</v>
      </c>
      <c r="G654" s="54">
        <v>43834</v>
      </c>
      <c r="H654" s="53" t="s">
        <v>26</v>
      </c>
      <c r="I654" s="53">
        <v>872</v>
      </c>
      <c r="J654" s="39" t="s">
        <v>33</v>
      </c>
      <c r="K654" s="39" t="s">
        <v>1087</v>
      </c>
      <c r="L654" s="39"/>
      <c r="M654" s="37">
        <v>44041</v>
      </c>
      <c r="N654" s="39">
        <v>5.03</v>
      </c>
      <c r="O654" s="40">
        <v>1527</v>
      </c>
    </row>
    <row r="655" spans="1:15" x14ac:dyDescent="0.55000000000000004">
      <c r="A655" s="24" t="str">
        <f>IF(COUNTIF(B655:$B$5014,B655)&gt;1,IF(COUNTIF($B$5:B655,B655)&gt;1,"",B655&amp;"-I"),B655)</f>
        <v/>
      </c>
      <c r="B655" s="29">
        <f t="shared" si="10"/>
        <v>963</v>
      </c>
      <c r="C655" s="36" t="s">
        <v>668</v>
      </c>
      <c r="D655" s="53">
        <v>812</v>
      </c>
      <c r="E655" s="53" t="s">
        <v>834</v>
      </c>
      <c r="F655" s="53" t="s">
        <v>11</v>
      </c>
      <c r="G655" s="54">
        <v>43844</v>
      </c>
      <c r="H655" s="53">
        <v>1043</v>
      </c>
      <c r="I655" s="53">
        <v>963</v>
      </c>
      <c r="J655" s="39" t="s">
        <v>33</v>
      </c>
      <c r="K655" s="39" t="s">
        <v>1087</v>
      </c>
      <c r="L655" s="39"/>
      <c r="M655" s="37">
        <v>44041</v>
      </c>
      <c r="N655" s="39">
        <v>5.03</v>
      </c>
      <c r="O655" s="40">
        <v>1527</v>
      </c>
    </row>
    <row r="656" spans="1:15" x14ac:dyDescent="0.55000000000000004">
      <c r="A656" s="24" t="str">
        <f>IF(COUNTIF(B656:$B$5014,B656)&gt;1,IF(COUNTIF($B$5:B656,B656)&gt;1,"",B656&amp;"-I"),B656)</f>
        <v/>
      </c>
      <c r="B656" s="29">
        <f t="shared" si="10"/>
        <v>865</v>
      </c>
      <c r="C656" s="36" t="s">
        <v>669</v>
      </c>
      <c r="D656" s="53">
        <v>813</v>
      </c>
      <c r="E656" s="53" t="s">
        <v>833</v>
      </c>
      <c r="F656" s="53" t="s">
        <v>11</v>
      </c>
      <c r="G656" s="54">
        <v>43846</v>
      </c>
      <c r="H656" s="53" t="s">
        <v>26</v>
      </c>
      <c r="I656" s="53">
        <v>865</v>
      </c>
      <c r="J656" s="39" t="s">
        <v>33</v>
      </c>
      <c r="K656" s="39" t="s">
        <v>912</v>
      </c>
      <c r="L656" s="39"/>
      <c r="M656" s="37">
        <v>44346</v>
      </c>
      <c r="N656" s="39">
        <v>6.41</v>
      </c>
      <c r="O656" s="40">
        <v>2564</v>
      </c>
    </row>
    <row r="657" spans="1:16" x14ac:dyDescent="0.55000000000000004">
      <c r="A657" s="24" t="str">
        <f>IF(COUNTIF(B657:$B$5014,B657)&gt;1,IF(COUNTIF($B$5:B657,B657)&gt;1,"",B657&amp;"-I"),B657)</f>
        <v/>
      </c>
      <c r="B657" s="29">
        <f t="shared" si="10"/>
        <v>893</v>
      </c>
      <c r="C657" s="89" t="s">
        <v>670</v>
      </c>
      <c r="D657" s="79">
        <v>814</v>
      </c>
      <c r="E657" s="79" t="s">
        <v>833</v>
      </c>
      <c r="F657" s="79" t="s">
        <v>12</v>
      </c>
      <c r="G657" s="90">
        <v>43852</v>
      </c>
      <c r="H657" s="79">
        <v>1043</v>
      </c>
      <c r="I657" s="79">
        <v>893</v>
      </c>
      <c r="J657" s="91" t="s">
        <v>33</v>
      </c>
      <c r="K657" s="46" t="s">
        <v>912</v>
      </c>
      <c r="L657" s="46"/>
      <c r="M657" s="51">
        <v>44346</v>
      </c>
      <c r="N657" s="92">
        <v>6.41</v>
      </c>
      <c r="O657" s="92">
        <v>2564</v>
      </c>
    </row>
    <row r="658" spans="1:16" x14ac:dyDescent="0.55000000000000004">
      <c r="A658" s="24" t="str">
        <f>IF(COUNTIF(B658:$B$5014,B658)&gt;1,IF(COUNTIF($B$5:B658,B658)&gt;1,"",B658&amp;"-I"),B658)</f>
        <v/>
      </c>
      <c r="B658" s="29">
        <f t="shared" si="10"/>
        <v>894</v>
      </c>
      <c r="C658" s="36" t="s">
        <v>671</v>
      </c>
      <c r="D658" s="53">
        <v>815</v>
      </c>
      <c r="E658" s="53" t="s">
        <v>833</v>
      </c>
      <c r="F658" s="53" t="s">
        <v>12</v>
      </c>
      <c r="G658" s="54">
        <v>43858</v>
      </c>
      <c r="H658" s="53">
        <v>1043</v>
      </c>
      <c r="I658" s="53">
        <v>894</v>
      </c>
      <c r="J658" s="39" t="s">
        <v>33</v>
      </c>
      <c r="K658" s="39" t="s">
        <v>912</v>
      </c>
      <c r="L658" s="39"/>
      <c r="M658" s="37">
        <v>44346</v>
      </c>
      <c r="N658" s="39">
        <v>6.41</v>
      </c>
      <c r="O658" s="40">
        <v>2564</v>
      </c>
    </row>
    <row r="659" spans="1:16" x14ac:dyDescent="0.55000000000000004">
      <c r="A659" s="24">
        <f>IF(COUNTIF(B659:$B$5014,B659)&gt;1,IF(COUNTIF($B$5:B659,B659)&gt;1,"",B659&amp;"-I"),B659)</f>
        <v>942</v>
      </c>
      <c r="B659" s="29">
        <f t="shared" si="10"/>
        <v>942</v>
      </c>
      <c r="C659" s="36" t="s">
        <v>672</v>
      </c>
      <c r="D659" s="53">
        <v>816</v>
      </c>
      <c r="E659" s="53" t="s">
        <v>833</v>
      </c>
      <c r="F659" s="53" t="s">
        <v>11</v>
      </c>
      <c r="G659" s="54">
        <v>43858</v>
      </c>
      <c r="H659" s="53">
        <v>1055</v>
      </c>
      <c r="I659" s="53">
        <v>942</v>
      </c>
      <c r="J659" s="39" t="s">
        <v>33</v>
      </c>
      <c r="K659" s="39" t="s">
        <v>912</v>
      </c>
      <c r="L659" s="39"/>
      <c r="M659" s="37">
        <v>44346</v>
      </c>
      <c r="N659" s="39">
        <v>6.41</v>
      </c>
      <c r="O659" s="40">
        <v>2564</v>
      </c>
    </row>
    <row r="660" spans="1:16" x14ac:dyDescent="0.55000000000000004">
      <c r="A660" s="24" t="str">
        <f>IF(COUNTIF(B660:$B$5014,B660)&gt;1,IF(COUNTIF($B$5:B660,B660)&gt;1,"",B660&amp;"-I"),B660)</f>
        <v/>
      </c>
      <c r="B660" s="29">
        <f t="shared" si="10"/>
        <v>950</v>
      </c>
      <c r="C660" s="36" t="s">
        <v>673</v>
      </c>
      <c r="D660" s="53">
        <v>817</v>
      </c>
      <c r="E660" s="53" t="s">
        <v>833</v>
      </c>
      <c r="F660" s="53" t="s">
        <v>12</v>
      </c>
      <c r="G660" s="54">
        <v>43859</v>
      </c>
      <c r="H660" s="53">
        <v>1055</v>
      </c>
      <c r="I660" s="53">
        <v>950</v>
      </c>
      <c r="J660" s="39" t="s">
        <v>33</v>
      </c>
      <c r="K660" s="39" t="s">
        <v>912</v>
      </c>
      <c r="L660" s="39"/>
      <c r="M660" s="37">
        <v>44346</v>
      </c>
      <c r="N660" s="39">
        <v>6.41</v>
      </c>
      <c r="O660" s="40">
        <v>2564</v>
      </c>
    </row>
    <row r="661" spans="1:16" x14ac:dyDescent="0.55000000000000004">
      <c r="A661" s="24" t="str">
        <f>IF(COUNTIF(B661:$B$5014,B661)&gt;1,IF(COUNTIF($B$5:B661,B661)&gt;1,"",B661&amp;"-I"),B661)</f>
        <v/>
      </c>
      <c r="B661" s="29">
        <f t="shared" si="10"/>
        <v>867</v>
      </c>
      <c r="C661" s="36" t="s">
        <v>674</v>
      </c>
      <c r="D661" s="53">
        <v>818</v>
      </c>
      <c r="E661" s="53" t="s">
        <v>834</v>
      </c>
      <c r="F661" s="53" t="s">
        <v>11</v>
      </c>
      <c r="G661" s="54">
        <v>43863</v>
      </c>
      <c r="H661" s="53">
        <v>1055</v>
      </c>
      <c r="I661" s="53">
        <v>867</v>
      </c>
      <c r="J661" s="39" t="s">
        <v>33</v>
      </c>
      <c r="K661" s="39" t="s">
        <v>912</v>
      </c>
      <c r="L661" s="39"/>
      <c r="M661" s="37">
        <v>44346</v>
      </c>
      <c r="N661" s="39">
        <v>6.41</v>
      </c>
      <c r="O661" s="40">
        <v>2564</v>
      </c>
    </row>
    <row r="662" spans="1:16" x14ac:dyDescent="0.55000000000000004">
      <c r="A662" s="24" t="str">
        <f>IF(COUNTIF(B662:$B$5014,B662)&gt;1,IF(COUNTIF($B$5:B662,B662)&gt;1,"",B662&amp;"-I"),B662)</f>
        <v/>
      </c>
      <c r="B662" s="29">
        <f t="shared" si="10"/>
        <v>876</v>
      </c>
      <c r="C662" s="36" t="s">
        <v>675</v>
      </c>
      <c r="D662" s="53">
        <v>819</v>
      </c>
      <c r="E662" s="53" t="s">
        <v>834</v>
      </c>
      <c r="F662" s="53" t="s">
        <v>11</v>
      </c>
      <c r="G662" s="54">
        <v>43866</v>
      </c>
      <c r="H662" s="53">
        <v>1055</v>
      </c>
      <c r="I662" s="53">
        <v>876</v>
      </c>
      <c r="J662" s="39" t="s">
        <v>33</v>
      </c>
      <c r="K662" s="39" t="s">
        <v>912</v>
      </c>
      <c r="L662" s="39"/>
      <c r="M662" s="37">
        <v>44346</v>
      </c>
      <c r="N662" s="39">
        <v>6.41</v>
      </c>
      <c r="O662" s="40">
        <v>2564</v>
      </c>
    </row>
    <row r="663" spans="1:16" x14ac:dyDescent="0.55000000000000004">
      <c r="A663" s="24" t="str">
        <f>IF(COUNTIF(B663:$B$5014,B663)&gt;1,IF(COUNTIF($B$5:B663,B663)&gt;1,"",B663&amp;"-I"),B663)</f>
        <v>1012-I</v>
      </c>
      <c r="B663" s="29">
        <f t="shared" si="10"/>
        <v>1012</v>
      </c>
      <c r="C663" s="36" t="s">
        <v>676</v>
      </c>
      <c r="D663" s="53">
        <v>820</v>
      </c>
      <c r="E663" s="53" t="s">
        <v>833</v>
      </c>
      <c r="F663" s="53" t="s">
        <v>12</v>
      </c>
      <c r="G663" s="54">
        <v>43872</v>
      </c>
      <c r="H663" s="53" t="s">
        <v>882</v>
      </c>
      <c r="I663" s="53">
        <v>1012</v>
      </c>
      <c r="J663" s="39" t="s">
        <v>33</v>
      </c>
      <c r="K663" s="39" t="s">
        <v>1087</v>
      </c>
      <c r="L663" s="39"/>
      <c r="M663" s="37">
        <v>44041</v>
      </c>
      <c r="N663" s="39">
        <v>5.03</v>
      </c>
      <c r="O663" s="40">
        <v>1527</v>
      </c>
    </row>
    <row r="664" spans="1:16" x14ac:dyDescent="0.55000000000000004">
      <c r="A664" s="24" t="str">
        <f>IF(COUNTIF(B664:$B$5014,B664)&gt;1,IF(COUNTIF($B$5:B664,B664)&gt;1,"",B664&amp;"-I"),B664)</f>
        <v/>
      </c>
      <c r="B664" s="29">
        <f t="shared" si="10"/>
        <v>988</v>
      </c>
      <c r="C664" s="36" t="s">
        <v>677</v>
      </c>
      <c r="D664" s="53">
        <v>821</v>
      </c>
      <c r="E664" s="53" t="s">
        <v>834</v>
      </c>
      <c r="F664" s="53" t="s">
        <v>12</v>
      </c>
      <c r="G664" s="54">
        <v>43876</v>
      </c>
      <c r="H664" s="53">
        <v>1055</v>
      </c>
      <c r="I664" s="53">
        <v>988</v>
      </c>
      <c r="J664" s="39" t="s">
        <v>33</v>
      </c>
      <c r="K664" s="39" t="s">
        <v>912</v>
      </c>
      <c r="L664" s="39"/>
      <c r="M664" s="37">
        <v>44346</v>
      </c>
      <c r="N664" s="39">
        <v>6.41</v>
      </c>
      <c r="O664" s="40">
        <v>2564</v>
      </c>
      <c r="P664" s="100" t="s">
        <v>913</v>
      </c>
    </row>
    <row r="665" spans="1:16" x14ac:dyDescent="0.55000000000000004">
      <c r="A665" s="24" t="str">
        <f>IF(COUNTIF(B665:$B$5014,B665)&gt;1,IF(COUNTIF($B$5:B665,B665)&gt;1,"",B665&amp;"-I"),B665)</f>
        <v/>
      </c>
      <c r="B665" s="29">
        <f t="shared" si="10"/>
        <v>854</v>
      </c>
      <c r="C665" s="36" t="s">
        <v>678</v>
      </c>
      <c r="D665" s="53">
        <v>822</v>
      </c>
      <c r="E665" s="53" t="s">
        <v>834</v>
      </c>
      <c r="F665" s="53" t="s">
        <v>12</v>
      </c>
      <c r="G665" s="54">
        <v>43877</v>
      </c>
      <c r="H665" s="53">
        <v>1055</v>
      </c>
      <c r="I665" s="53">
        <v>854</v>
      </c>
      <c r="J665" s="39" t="s">
        <v>33</v>
      </c>
      <c r="K665" s="39" t="s">
        <v>1087</v>
      </c>
      <c r="L665" s="39"/>
      <c r="M665" s="37">
        <v>44041</v>
      </c>
      <c r="N665" s="39">
        <v>5.03</v>
      </c>
      <c r="O665" s="40">
        <v>1527</v>
      </c>
    </row>
    <row r="666" spans="1:16" x14ac:dyDescent="0.55000000000000004">
      <c r="A666" s="24" t="str">
        <f>IF(COUNTIF(B666:$B$5014,B666)&gt;1,IF(COUNTIF($B$5:B666,B666)&gt;1,"",B666&amp;"-I"),B666)</f>
        <v/>
      </c>
      <c r="B666" s="29">
        <f t="shared" si="10"/>
        <v>985</v>
      </c>
      <c r="C666" s="36" t="s">
        <v>679</v>
      </c>
      <c r="D666" s="53">
        <v>823</v>
      </c>
      <c r="E666" s="53" t="s">
        <v>834</v>
      </c>
      <c r="F666" s="53" t="s">
        <v>12</v>
      </c>
      <c r="G666" s="54">
        <v>43880</v>
      </c>
      <c r="H666" s="53">
        <v>1055</v>
      </c>
      <c r="I666" s="53">
        <v>985</v>
      </c>
      <c r="J666" s="39" t="s">
        <v>33</v>
      </c>
      <c r="K666" s="39" t="s">
        <v>912</v>
      </c>
      <c r="L666" s="39"/>
      <c r="M666" s="37">
        <v>44346</v>
      </c>
      <c r="N666" s="39">
        <v>6.41</v>
      </c>
      <c r="O666" s="40">
        <v>2564</v>
      </c>
    </row>
    <row r="667" spans="1:16" x14ac:dyDescent="0.55000000000000004">
      <c r="A667" s="24" t="str">
        <f>IF(COUNTIF(B667:$B$5014,B667)&gt;1,IF(COUNTIF($B$5:B667,B667)&gt;1,"",B667&amp;"-I"),B667)</f>
        <v/>
      </c>
      <c r="B667" s="29">
        <f t="shared" si="10"/>
        <v>939</v>
      </c>
      <c r="C667" s="36" t="s">
        <v>680</v>
      </c>
      <c r="D667" s="53">
        <v>824</v>
      </c>
      <c r="E667" s="53" t="s">
        <v>833</v>
      </c>
      <c r="F667" s="53" t="s">
        <v>12</v>
      </c>
      <c r="G667" s="54">
        <v>43893</v>
      </c>
      <c r="H667" s="53">
        <v>1055</v>
      </c>
      <c r="I667" s="53">
        <v>939</v>
      </c>
      <c r="J667" s="39" t="s">
        <v>33</v>
      </c>
      <c r="K667" s="39" t="s">
        <v>912</v>
      </c>
      <c r="L667" s="39"/>
      <c r="M667" s="37">
        <v>44346</v>
      </c>
      <c r="N667" s="39">
        <v>6.41</v>
      </c>
      <c r="O667" s="40">
        <v>2564</v>
      </c>
    </row>
    <row r="668" spans="1:16" x14ac:dyDescent="0.55000000000000004">
      <c r="A668" s="24" t="str">
        <f>IF(COUNTIF(B668:$B$5014,B668)&gt;1,IF(COUNTIF($B$5:B668,B668)&gt;1,"",B668&amp;"-I"),B668)</f>
        <v/>
      </c>
      <c r="B668" s="29">
        <f t="shared" si="10"/>
        <v>881</v>
      </c>
      <c r="C668" s="36" t="s">
        <v>681</v>
      </c>
      <c r="D668" s="53">
        <v>825</v>
      </c>
      <c r="E668" s="53" t="s">
        <v>833</v>
      </c>
      <c r="F668" s="53" t="s">
        <v>11</v>
      </c>
      <c r="G668" s="54">
        <v>43897</v>
      </c>
      <c r="H668" s="53">
        <v>1043</v>
      </c>
      <c r="I668" s="53">
        <v>881</v>
      </c>
      <c r="J668" s="39" t="s">
        <v>33</v>
      </c>
      <c r="K668" s="39" t="s">
        <v>1087</v>
      </c>
      <c r="L668" s="39"/>
      <c r="M668" s="37">
        <v>44041</v>
      </c>
      <c r="N668" s="39">
        <v>5.03</v>
      </c>
      <c r="O668" s="40">
        <v>1527</v>
      </c>
    </row>
    <row r="669" spans="1:16" x14ac:dyDescent="0.55000000000000004">
      <c r="A669" s="24" t="str">
        <f>IF(COUNTIF(B669:$B$5014,B669)&gt;1,IF(COUNTIF($B$5:B669,B669)&gt;1,"",B669&amp;"-I"),B669)</f>
        <v/>
      </c>
      <c r="B669" s="29">
        <f t="shared" si="10"/>
        <v>980</v>
      </c>
      <c r="C669" s="36" t="s">
        <v>682</v>
      </c>
      <c r="D669" s="53">
        <v>826</v>
      </c>
      <c r="E669" s="53" t="s">
        <v>833</v>
      </c>
      <c r="F669" s="53" t="s">
        <v>11</v>
      </c>
      <c r="G669" s="54">
        <v>43898</v>
      </c>
      <c r="H669" s="53">
        <v>1043</v>
      </c>
      <c r="I669" s="53">
        <v>980</v>
      </c>
      <c r="J669" s="39" t="s">
        <v>33</v>
      </c>
      <c r="K669" s="39" t="s">
        <v>912</v>
      </c>
      <c r="L669" s="39"/>
      <c r="M669" s="37">
        <v>44346</v>
      </c>
      <c r="N669" s="39">
        <v>6.41</v>
      </c>
      <c r="O669" s="40">
        <v>2564</v>
      </c>
    </row>
    <row r="670" spans="1:16" x14ac:dyDescent="0.55000000000000004">
      <c r="A670" s="24" t="str">
        <f>IF(COUNTIF(B670:$B$5014,B670)&gt;1,IF(COUNTIF($B$5:B670,B670)&gt;1,"",B670&amp;"-I"),B670)</f>
        <v/>
      </c>
      <c r="B670" s="29">
        <f t="shared" si="10"/>
        <v>974</v>
      </c>
      <c r="C670" s="36" t="s">
        <v>683</v>
      </c>
      <c r="D670" s="53">
        <v>827</v>
      </c>
      <c r="E670" s="53" t="s">
        <v>833</v>
      </c>
      <c r="F670" s="53" t="s">
        <v>12</v>
      </c>
      <c r="G670" s="54">
        <v>43913</v>
      </c>
      <c r="H670" s="53">
        <v>1043</v>
      </c>
      <c r="I670" s="53">
        <v>974</v>
      </c>
      <c r="J670" s="39" t="s">
        <v>33</v>
      </c>
      <c r="K670" s="39" t="s">
        <v>912</v>
      </c>
      <c r="L670" s="39"/>
      <c r="M670" s="37">
        <v>44346</v>
      </c>
      <c r="N670" s="39">
        <v>6.41</v>
      </c>
      <c r="O670" s="40">
        <v>2564</v>
      </c>
    </row>
    <row r="671" spans="1:16" x14ac:dyDescent="0.55000000000000004">
      <c r="A671" s="24" t="str">
        <f>IF(COUNTIF(B671:$B$5014,B671)&gt;1,IF(COUNTIF($B$5:B671,B671)&gt;1,"",B671&amp;"-I"),B671)</f>
        <v/>
      </c>
      <c r="B671" s="29">
        <f t="shared" si="10"/>
        <v>874</v>
      </c>
      <c r="C671" s="36" t="s">
        <v>684</v>
      </c>
      <c r="D671" s="53">
        <v>828</v>
      </c>
      <c r="E671" s="53" t="s">
        <v>833</v>
      </c>
      <c r="F671" s="53" t="s">
        <v>11</v>
      </c>
      <c r="G671" s="54">
        <v>43923</v>
      </c>
      <c r="H671" s="53">
        <v>1055</v>
      </c>
      <c r="I671" s="53">
        <v>874</v>
      </c>
      <c r="J671" s="39" t="s">
        <v>33</v>
      </c>
      <c r="K671" s="39" t="s">
        <v>912</v>
      </c>
      <c r="L671" s="39"/>
      <c r="M671" s="37">
        <v>44346</v>
      </c>
      <c r="N671" s="39">
        <v>6.41</v>
      </c>
      <c r="O671" s="40">
        <v>2564</v>
      </c>
    </row>
    <row r="672" spans="1:16" x14ac:dyDescent="0.55000000000000004">
      <c r="A672" s="24" t="str">
        <f>IF(COUNTIF(B672:$B$5014,B672)&gt;1,IF(COUNTIF($B$5:B672,B672)&gt;1,"",B672&amp;"-I"),B672)</f>
        <v/>
      </c>
      <c r="B672" s="29">
        <f t="shared" si="10"/>
        <v>933</v>
      </c>
      <c r="C672" s="36" t="s">
        <v>685</v>
      </c>
      <c r="D672" s="53">
        <v>829</v>
      </c>
      <c r="E672" s="53" t="s">
        <v>833</v>
      </c>
      <c r="F672" s="53" t="s">
        <v>12</v>
      </c>
      <c r="G672" s="54">
        <v>43926</v>
      </c>
      <c r="H672" s="53">
        <v>1043</v>
      </c>
      <c r="I672" s="53">
        <v>933</v>
      </c>
      <c r="J672" s="39" t="s">
        <v>33</v>
      </c>
      <c r="K672" s="39" t="s">
        <v>912</v>
      </c>
      <c r="L672" s="39"/>
      <c r="M672" s="37">
        <v>44346</v>
      </c>
      <c r="N672" s="39">
        <v>6.41</v>
      </c>
      <c r="O672" s="40">
        <v>2564</v>
      </c>
    </row>
    <row r="673" spans="1:15" x14ac:dyDescent="0.55000000000000004">
      <c r="A673" s="24" t="str">
        <f>IF(COUNTIF(B673:$B$5014,B673)&gt;1,IF(COUNTIF($B$5:B673,B673)&gt;1,"",B673&amp;"-I"),B673)</f>
        <v/>
      </c>
      <c r="B673" s="29">
        <f t="shared" si="10"/>
        <v>978</v>
      </c>
      <c r="C673" s="36" t="s">
        <v>686</v>
      </c>
      <c r="D673" s="53">
        <v>830</v>
      </c>
      <c r="E673" s="53" t="s">
        <v>833</v>
      </c>
      <c r="F673" s="53" t="s">
        <v>12</v>
      </c>
      <c r="G673" s="54">
        <v>43949</v>
      </c>
      <c r="H673" s="53">
        <v>1055</v>
      </c>
      <c r="I673" s="53">
        <v>978</v>
      </c>
      <c r="J673" s="39" t="s">
        <v>33</v>
      </c>
      <c r="K673" s="39" t="s">
        <v>912</v>
      </c>
      <c r="L673" s="39"/>
      <c r="M673" s="37">
        <v>44346</v>
      </c>
      <c r="N673" s="39">
        <v>6.41</v>
      </c>
      <c r="O673" s="40">
        <v>2564</v>
      </c>
    </row>
    <row r="674" spans="1:15" x14ac:dyDescent="0.55000000000000004">
      <c r="A674" s="24" t="str">
        <f>IF(COUNTIF(B674:$B$5014,B674)&gt;1,IF(COUNTIF($B$5:B674,B674)&gt;1,"",B674&amp;"-I"),B674)</f>
        <v/>
      </c>
      <c r="B674" s="29">
        <f t="shared" si="10"/>
        <v>860</v>
      </c>
      <c r="C674" s="36" t="s">
        <v>687</v>
      </c>
      <c r="D674" s="53">
        <v>831</v>
      </c>
      <c r="E674" s="53" t="s">
        <v>833</v>
      </c>
      <c r="F674" s="53" t="s">
        <v>11</v>
      </c>
      <c r="G674" s="54">
        <v>43954</v>
      </c>
      <c r="H674" s="53" t="s">
        <v>26</v>
      </c>
      <c r="I674" s="53">
        <v>860</v>
      </c>
      <c r="J674" s="39" t="s">
        <v>33</v>
      </c>
      <c r="K674" s="39" t="s">
        <v>912</v>
      </c>
      <c r="L674" s="39"/>
      <c r="M674" s="37">
        <v>44346</v>
      </c>
      <c r="N674" s="39">
        <v>6.41</v>
      </c>
      <c r="O674" s="40">
        <v>2564</v>
      </c>
    </row>
    <row r="675" spans="1:15" x14ac:dyDescent="0.55000000000000004">
      <c r="A675" s="24" t="str">
        <f>IF(COUNTIF(B675:$B$5014,B675)&gt;1,IF(COUNTIF($B$5:B675,B675)&gt;1,"",B675&amp;"-I"),B675)</f>
        <v/>
      </c>
      <c r="B675" s="29">
        <f t="shared" si="10"/>
        <v>898</v>
      </c>
      <c r="C675" s="36" t="s">
        <v>688</v>
      </c>
      <c r="D675" s="53">
        <v>832</v>
      </c>
      <c r="E675" s="53" t="s">
        <v>833</v>
      </c>
      <c r="F675" s="53" t="s">
        <v>12</v>
      </c>
      <c r="G675" s="54">
        <v>43962</v>
      </c>
      <c r="H675" s="53" t="s">
        <v>26</v>
      </c>
      <c r="I675" s="53">
        <v>898</v>
      </c>
      <c r="J675" s="39" t="s">
        <v>33</v>
      </c>
      <c r="K675" s="39" t="s">
        <v>912</v>
      </c>
      <c r="L675" s="39"/>
      <c r="M675" s="37">
        <v>44346</v>
      </c>
      <c r="N675" s="39">
        <v>6.41</v>
      </c>
      <c r="O675" s="40">
        <v>2564</v>
      </c>
    </row>
    <row r="676" spans="1:15" x14ac:dyDescent="0.55000000000000004">
      <c r="A676" s="24" t="str">
        <f>IF(COUNTIF(B676:$B$5014,B676)&gt;1,IF(COUNTIF($B$5:B676,B676)&gt;1,"",B676&amp;"-I"),B676)</f>
        <v/>
      </c>
      <c r="B676" s="29">
        <f t="shared" si="10"/>
        <v>899</v>
      </c>
      <c r="C676" s="36" t="s">
        <v>689</v>
      </c>
      <c r="D676" s="53">
        <v>833</v>
      </c>
      <c r="E676" s="53" t="s">
        <v>834</v>
      </c>
      <c r="F676" s="53" t="s">
        <v>12</v>
      </c>
      <c r="G676" s="54">
        <v>44004</v>
      </c>
      <c r="H676" s="53" t="s">
        <v>26</v>
      </c>
      <c r="I676" s="53">
        <v>899</v>
      </c>
      <c r="J676" s="39" t="s">
        <v>33</v>
      </c>
      <c r="K676" s="39" t="s">
        <v>912</v>
      </c>
      <c r="L676" s="39"/>
      <c r="M676" s="37">
        <v>44346</v>
      </c>
      <c r="N676" s="39">
        <v>6.41</v>
      </c>
      <c r="O676" s="40">
        <v>2564</v>
      </c>
    </row>
    <row r="677" spans="1:15" x14ac:dyDescent="0.55000000000000004">
      <c r="A677" s="24" t="str">
        <f>IF(COUNTIF(B677:$B$5014,B677)&gt;1,IF(COUNTIF($B$5:B677,B677)&gt;1,"",B677&amp;"-I"),B677)</f>
        <v/>
      </c>
      <c r="B677" s="29">
        <f t="shared" si="10"/>
        <v>964</v>
      </c>
      <c r="C677" s="36" t="s">
        <v>690</v>
      </c>
      <c r="D677" s="53">
        <v>834</v>
      </c>
      <c r="E677" s="53" t="s">
        <v>834</v>
      </c>
      <c r="F677" s="53" t="s">
        <v>12</v>
      </c>
      <c r="G677" s="54">
        <v>44029</v>
      </c>
      <c r="H677" s="53">
        <v>1043</v>
      </c>
      <c r="I677" s="53">
        <v>964</v>
      </c>
      <c r="J677" s="39" t="s">
        <v>33</v>
      </c>
      <c r="K677" s="39" t="s">
        <v>912</v>
      </c>
      <c r="L677" s="39"/>
      <c r="M677" s="37">
        <v>44346</v>
      </c>
      <c r="N677" s="39">
        <v>6.41</v>
      </c>
      <c r="O677" s="40">
        <v>2564</v>
      </c>
    </row>
    <row r="678" spans="1:15" x14ac:dyDescent="0.55000000000000004">
      <c r="A678" s="24" t="str">
        <f>IF(COUNTIF(B678:$B$5014,B678)&gt;1,IF(COUNTIF($B$5:B678,B678)&gt;1,"",B678&amp;"-I"),B678)</f>
        <v/>
      </c>
      <c r="B678" s="29">
        <f t="shared" si="10"/>
        <v>957</v>
      </c>
      <c r="C678" s="36" t="s">
        <v>691</v>
      </c>
      <c r="D678" s="53">
        <v>835</v>
      </c>
      <c r="E678" s="53" t="s">
        <v>834</v>
      </c>
      <c r="F678" s="53" t="s">
        <v>12</v>
      </c>
      <c r="G678" s="54">
        <v>44030</v>
      </c>
      <c r="H678" s="53">
        <v>1055</v>
      </c>
      <c r="I678" s="53">
        <v>957</v>
      </c>
      <c r="J678" s="39" t="s">
        <v>33</v>
      </c>
      <c r="K678" s="39" t="s">
        <v>912</v>
      </c>
      <c r="L678" s="39"/>
      <c r="M678" s="37">
        <v>44346</v>
      </c>
      <c r="N678" s="39">
        <v>6.41</v>
      </c>
      <c r="O678" s="40">
        <v>2564</v>
      </c>
    </row>
    <row r="679" spans="1:15" x14ac:dyDescent="0.55000000000000004">
      <c r="A679" s="24" t="str">
        <f>IF(COUNTIF(B679:$B$5014,B679)&gt;1,IF(COUNTIF($B$5:B679,B679)&gt;1,"",B679&amp;"-I"),B679)</f>
        <v/>
      </c>
      <c r="B679" s="29">
        <f t="shared" si="10"/>
        <v>961</v>
      </c>
      <c r="C679" s="36" t="s">
        <v>692</v>
      </c>
      <c r="D679" s="53">
        <v>836</v>
      </c>
      <c r="E679" s="53" t="s">
        <v>833</v>
      </c>
      <c r="F679" s="53" t="s">
        <v>11</v>
      </c>
      <c r="G679" s="54">
        <v>44040</v>
      </c>
      <c r="H679" s="53">
        <v>1043</v>
      </c>
      <c r="I679" s="53">
        <v>961</v>
      </c>
      <c r="J679" s="39" t="s">
        <v>33</v>
      </c>
      <c r="K679" s="39" t="s">
        <v>912</v>
      </c>
      <c r="L679" s="39"/>
      <c r="M679" s="37">
        <v>44346</v>
      </c>
      <c r="N679" s="39">
        <v>6.41</v>
      </c>
      <c r="O679" s="40">
        <v>2564</v>
      </c>
    </row>
    <row r="680" spans="1:15" x14ac:dyDescent="0.55000000000000004">
      <c r="A680" s="24" t="str">
        <f>IF(COUNTIF(B680:$B$5014,B680)&gt;1,IF(COUNTIF($B$5:B680,B680)&gt;1,"",B680&amp;"-I"),B680)</f>
        <v/>
      </c>
      <c r="B680" s="29">
        <f t="shared" si="10"/>
        <v>869</v>
      </c>
      <c r="C680" s="36" t="s">
        <v>693</v>
      </c>
      <c r="D680" s="53">
        <v>837</v>
      </c>
      <c r="E680" s="53" t="s">
        <v>833</v>
      </c>
      <c r="F680" s="53" t="s">
        <v>11</v>
      </c>
      <c r="G680" s="54">
        <v>44049</v>
      </c>
      <c r="H680" s="53">
        <v>1055</v>
      </c>
      <c r="I680" s="53">
        <v>869</v>
      </c>
      <c r="J680" s="39" t="s">
        <v>33</v>
      </c>
      <c r="K680" s="39" t="s">
        <v>912</v>
      </c>
      <c r="L680" s="39"/>
      <c r="M680" s="37">
        <v>44346</v>
      </c>
      <c r="N680" s="39">
        <v>6.41</v>
      </c>
      <c r="O680" s="40">
        <v>2564</v>
      </c>
    </row>
    <row r="681" spans="1:15" x14ac:dyDescent="0.55000000000000004">
      <c r="A681" s="24" t="str">
        <f>IF(COUNTIF(B681:$B$5014,B681)&gt;1,IF(COUNTIF($B$5:B681,B681)&gt;1,"",B681&amp;"-I"),B681)</f>
        <v/>
      </c>
      <c r="B681" s="29">
        <f t="shared" si="10"/>
        <v>886</v>
      </c>
      <c r="C681" s="36" t="s">
        <v>694</v>
      </c>
      <c r="D681" s="53">
        <v>838</v>
      </c>
      <c r="E681" s="53" t="s">
        <v>833</v>
      </c>
      <c r="F681" s="53" t="s">
        <v>12</v>
      </c>
      <c r="G681" s="54">
        <v>44049</v>
      </c>
      <c r="H681" s="53">
        <v>1043</v>
      </c>
      <c r="I681" s="53">
        <v>886</v>
      </c>
      <c r="J681" s="39" t="s">
        <v>33</v>
      </c>
      <c r="K681" s="39" t="s">
        <v>912</v>
      </c>
      <c r="L681" s="39"/>
      <c r="M681" s="37">
        <v>44346</v>
      </c>
      <c r="N681" s="39">
        <v>6.41</v>
      </c>
      <c r="O681" s="40">
        <v>2564</v>
      </c>
    </row>
    <row r="682" spans="1:15" x14ac:dyDescent="0.55000000000000004">
      <c r="A682" s="24" t="str">
        <f>IF(COUNTIF(B682:$B$5014,B682)&gt;1,IF(COUNTIF($B$5:B682,B682)&gt;1,"",B682&amp;"-I"),B682)</f>
        <v/>
      </c>
      <c r="B682" s="29">
        <f t="shared" si="10"/>
        <v>877</v>
      </c>
      <c r="C682" s="36" t="s">
        <v>695</v>
      </c>
      <c r="D682" s="53">
        <v>839</v>
      </c>
      <c r="E682" s="53" t="s">
        <v>833</v>
      </c>
      <c r="F682" s="53" t="s">
        <v>12</v>
      </c>
      <c r="G682" s="54">
        <v>44058</v>
      </c>
      <c r="H682" s="53">
        <v>1055</v>
      </c>
      <c r="I682" s="53">
        <v>877</v>
      </c>
      <c r="J682" s="39" t="s">
        <v>33</v>
      </c>
      <c r="K682" s="39" t="s">
        <v>912</v>
      </c>
      <c r="L682" s="39"/>
      <c r="M682" s="37">
        <v>44346</v>
      </c>
      <c r="N682" s="39">
        <v>6.41</v>
      </c>
      <c r="O682" s="40">
        <v>2564</v>
      </c>
    </row>
    <row r="683" spans="1:15" x14ac:dyDescent="0.55000000000000004">
      <c r="A683" s="24" t="str">
        <f>IF(COUNTIF(B683:$B$5014,B683)&gt;1,IF(COUNTIF($B$5:B683,B683)&gt;1,"",B683&amp;"-I"),B683)</f>
        <v/>
      </c>
      <c r="B683" s="29">
        <f t="shared" si="10"/>
        <v>934</v>
      </c>
      <c r="C683" s="36" t="s">
        <v>696</v>
      </c>
      <c r="D683" s="53">
        <v>840</v>
      </c>
      <c r="E683" s="53" t="s">
        <v>834</v>
      </c>
      <c r="F683" s="53" t="s">
        <v>11</v>
      </c>
      <c r="G683" s="54">
        <v>44064</v>
      </c>
      <c r="H683" s="53">
        <v>1055</v>
      </c>
      <c r="I683" s="53">
        <v>934</v>
      </c>
      <c r="J683" s="39" t="s">
        <v>33</v>
      </c>
      <c r="K683" s="39" t="s">
        <v>912</v>
      </c>
      <c r="L683" s="39"/>
      <c r="M683" s="37">
        <v>44346</v>
      </c>
      <c r="N683" s="39">
        <v>6.41</v>
      </c>
      <c r="O683" s="40">
        <v>2564</v>
      </c>
    </row>
    <row r="684" spans="1:15" x14ac:dyDescent="0.55000000000000004">
      <c r="A684" s="24" t="str">
        <f>IF(COUNTIF(B684:$B$5014,B684)&gt;1,IF(COUNTIF($B$5:B684,B684)&gt;1,"",B684&amp;"-I"),B684)</f>
        <v/>
      </c>
      <c r="B684" s="29">
        <f t="shared" si="10"/>
        <v>956</v>
      </c>
      <c r="C684" s="36" t="s">
        <v>697</v>
      </c>
      <c r="D684" s="53">
        <v>841</v>
      </c>
      <c r="E684" s="53" t="s">
        <v>833</v>
      </c>
      <c r="F684" s="53" t="s">
        <v>12</v>
      </c>
      <c r="G684" s="54">
        <v>44083</v>
      </c>
      <c r="H684" s="53">
        <v>1055</v>
      </c>
      <c r="I684" s="53">
        <v>956</v>
      </c>
      <c r="J684" s="39" t="s">
        <v>33</v>
      </c>
      <c r="K684" s="39" t="s">
        <v>912</v>
      </c>
      <c r="L684" s="39"/>
      <c r="M684" s="37">
        <v>44346</v>
      </c>
      <c r="N684" s="39">
        <v>6.41</v>
      </c>
      <c r="O684" s="40">
        <v>2564</v>
      </c>
    </row>
    <row r="685" spans="1:15" x14ac:dyDescent="0.55000000000000004">
      <c r="A685" s="24" t="str">
        <f>IF(COUNTIF(B685:$B$5014,B685)&gt;1,IF(COUNTIF($B$5:B685,B685)&gt;1,"",B685&amp;"-I"),B685)</f>
        <v/>
      </c>
      <c r="B685" s="29">
        <f t="shared" si="10"/>
        <v>943</v>
      </c>
      <c r="C685" s="36" t="s">
        <v>698</v>
      </c>
      <c r="D685" s="53">
        <v>842</v>
      </c>
      <c r="E685" s="53" t="s">
        <v>833</v>
      </c>
      <c r="F685" s="53" t="s">
        <v>12</v>
      </c>
      <c r="G685" s="54">
        <v>44105</v>
      </c>
      <c r="H685" s="53">
        <v>1055</v>
      </c>
      <c r="I685" s="53">
        <v>943</v>
      </c>
      <c r="J685" s="39" t="s">
        <v>33</v>
      </c>
      <c r="K685" s="39" t="s">
        <v>929</v>
      </c>
      <c r="L685" s="39"/>
      <c r="M685" s="37">
        <v>44501</v>
      </c>
      <c r="N685" s="39">
        <v>5.64</v>
      </c>
      <c r="O685" s="40">
        <v>2307</v>
      </c>
    </row>
    <row r="686" spans="1:15" x14ac:dyDescent="0.55000000000000004">
      <c r="A686" s="24">
        <f>IF(COUNTIF(B686:$B$5014,B686)&gt;1,IF(COUNTIF($B$5:B686,B686)&gt;1,"",B686&amp;"-I"),B686)</f>
        <v>944</v>
      </c>
      <c r="B686" s="29">
        <f t="shared" si="10"/>
        <v>944</v>
      </c>
      <c r="C686" s="36" t="s">
        <v>699</v>
      </c>
      <c r="D686" s="53">
        <v>843</v>
      </c>
      <c r="E686" s="53" t="s">
        <v>833</v>
      </c>
      <c r="F686" s="53" t="s">
        <v>11</v>
      </c>
      <c r="G686" s="54">
        <v>44107</v>
      </c>
      <c r="H686" s="53">
        <v>1043</v>
      </c>
      <c r="I686" s="53">
        <v>944</v>
      </c>
      <c r="J686" s="39" t="s">
        <v>33</v>
      </c>
      <c r="K686" s="39" t="s">
        <v>929</v>
      </c>
      <c r="L686" s="39"/>
      <c r="M686" s="37">
        <v>44501</v>
      </c>
      <c r="N686" s="39">
        <v>5.64</v>
      </c>
      <c r="O686" s="40">
        <v>2307</v>
      </c>
    </row>
    <row r="687" spans="1:15" x14ac:dyDescent="0.55000000000000004">
      <c r="A687" s="24" t="str">
        <f>IF(COUNTIF(B687:$B$5014,B687)&gt;1,IF(COUNTIF($B$5:B687,B687)&gt;1,"",B687&amp;"-I"),B687)</f>
        <v/>
      </c>
      <c r="B687" s="29">
        <f t="shared" si="10"/>
        <v>873</v>
      </c>
      <c r="C687" s="36" t="s">
        <v>700</v>
      </c>
      <c r="D687" s="53">
        <v>844</v>
      </c>
      <c r="E687" s="53" t="s">
        <v>834</v>
      </c>
      <c r="F687" s="53" t="s">
        <v>12</v>
      </c>
      <c r="G687" s="54">
        <v>44117</v>
      </c>
      <c r="H687" s="53">
        <v>1043</v>
      </c>
      <c r="I687" s="53">
        <v>873</v>
      </c>
      <c r="J687" s="39" t="s">
        <v>33</v>
      </c>
      <c r="K687" s="39" t="s">
        <v>929</v>
      </c>
      <c r="L687" s="39"/>
      <c r="M687" s="37">
        <v>44501</v>
      </c>
      <c r="N687" s="58">
        <v>5.64</v>
      </c>
      <c r="O687" s="40">
        <v>2307</v>
      </c>
    </row>
    <row r="688" spans="1:15" x14ac:dyDescent="0.55000000000000004">
      <c r="A688" s="24" t="str">
        <f>IF(COUNTIF(B688:$B$5014,B688)&gt;1,IF(COUNTIF($B$5:B688,B688)&gt;1,"",B688&amp;"-I"),B688)</f>
        <v/>
      </c>
      <c r="B688" s="29">
        <f t="shared" si="10"/>
        <v>859</v>
      </c>
      <c r="C688" s="36" t="s">
        <v>701</v>
      </c>
      <c r="D688" s="53">
        <v>845</v>
      </c>
      <c r="E688" s="53" t="s">
        <v>833</v>
      </c>
      <c r="F688" s="53" t="s">
        <v>11</v>
      </c>
      <c r="G688" s="54">
        <v>44119</v>
      </c>
      <c r="H688" s="53">
        <v>1055</v>
      </c>
      <c r="I688" s="53">
        <v>859</v>
      </c>
      <c r="J688" s="39" t="s">
        <v>33</v>
      </c>
      <c r="K688" s="39" t="s">
        <v>929</v>
      </c>
      <c r="L688" s="39"/>
      <c r="M688" s="37">
        <v>44501</v>
      </c>
      <c r="N688" s="39">
        <v>5.64</v>
      </c>
      <c r="O688" s="40">
        <v>2307</v>
      </c>
    </row>
    <row r="689" spans="1:16" x14ac:dyDescent="0.55000000000000004">
      <c r="A689" s="24" t="str">
        <f>IF(COUNTIF(B689:$B$5014,B689)&gt;1,IF(COUNTIF($B$5:B689,B689)&gt;1,"",B689&amp;"-I"),B689)</f>
        <v/>
      </c>
      <c r="B689" s="29">
        <f t="shared" si="10"/>
        <v>958</v>
      </c>
      <c r="C689" s="36" t="s">
        <v>702</v>
      </c>
      <c r="D689" s="53">
        <v>846</v>
      </c>
      <c r="E689" s="53" t="s">
        <v>834</v>
      </c>
      <c r="F689" s="53" t="s">
        <v>11</v>
      </c>
      <c r="G689" s="54">
        <v>44119</v>
      </c>
      <c r="H689" s="53">
        <v>1055</v>
      </c>
      <c r="I689" s="53">
        <v>958</v>
      </c>
      <c r="J689" s="39" t="s">
        <v>33</v>
      </c>
      <c r="K689" s="39" t="s">
        <v>929</v>
      </c>
      <c r="L689" s="39"/>
      <c r="M689" s="37">
        <v>44501</v>
      </c>
      <c r="N689" s="39">
        <v>5.64</v>
      </c>
      <c r="O689" s="40">
        <v>2307</v>
      </c>
    </row>
    <row r="690" spans="1:16" x14ac:dyDescent="0.55000000000000004">
      <c r="A690" s="24" t="str">
        <f>IF(COUNTIF(B690:$B$5014,B690)&gt;1,IF(COUNTIF($B$5:B690,B690)&gt;1,"",B690&amp;"-I"),B690)</f>
        <v/>
      </c>
      <c r="B690" s="29">
        <f t="shared" si="10"/>
        <v>992</v>
      </c>
      <c r="C690" s="36" t="s">
        <v>703</v>
      </c>
      <c r="D690" s="53">
        <v>847</v>
      </c>
      <c r="E690" s="53" t="s">
        <v>833</v>
      </c>
      <c r="F690" s="53" t="s">
        <v>12</v>
      </c>
      <c r="G690" s="54">
        <v>44120</v>
      </c>
      <c r="H690" s="53">
        <v>1055</v>
      </c>
      <c r="I690" s="53">
        <v>992</v>
      </c>
      <c r="J690" s="39" t="s">
        <v>33</v>
      </c>
      <c r="K690" s="39" t="s">
        <v>929</v>
      </c>
      <c r="L690" s="39"/>
      <c r="M690" s="37">
        <v>44501</v>
      </c>
      <c r="N690" s="39">
        <v>5.64</v>
      </c>
      <c r="O690" s="40">
        <v>2307</v>
      </c>
    </row>
    <row r="691" spans="1:16" x14ac:dyDescent="0.55000000000000004">
      <c r="A691" s="24" t="str">
        <f>IF(COUNTIF(B691:$B$5014,B691)&gt;1,IF(COUNTIF($B$5:B691,B691)&gt;1,"",B691&amp;"-I"),B691)</f>
        <v/>
      </c>
      <c r="B691" s="29">
        <f t="shared" si="10"/>
        <v>870</v>
      </c>
      <c r="C691" s="36" t="s">
        <v>704</v>
      </c>
      <c r="D691" s="53">
        <v>848</v>
      </c>
      <c r="E691" s="53" t="s">
        <v>833</v>
      </c>
      <c r="F691" s="53" t="s">
        <v>12</v>
      </c>
      <c r="G691" s="54">
        <v>44125</v>
      </c>
      <c r="H691" s="53">
        <v>1043</v>
      </c>
      <c r="I691" s="53">
        <v>870</v>
      </c>
      <c r="J691" s="39" t="s">
        <v>33</v>
      </c>
      <c r="K691" s="39" t="s">
        <v>929</v>
      </c>
      <c r="L691" s="39"/>
      <c r="M691" s="37">
        <v>44501</v>
      </c>
      <c r="N691" s="39">
        <v>5.64</v>
      </c>
      <c r="O691" s="40">
        <v>2307</v>
      </c>
    </row>
    <row r="692" spans="1:16" x14ac:dyDescent="0.55000000000000004">
      <c r="A692" s="24" t="str">
        <f>IF(COUNTIF(B692:$B$5014,B692)&gt;1,IF(COUNTIF($B$5:B692,B692)&gt;1,"",B692&amp;"-I"),B692)</f>
        <v/>
      </c>
      <c r="B692" s="29">
        <f t="shared" si="10"/>
        <v>966</v>
      </c>
      <c r="C692" s="36" t="s">
        <v>705</v>
      </c>
      <c r="D692" s="53">
        <v>849</v>
      </c>
      <c r="E692" s="53" t="s">
        <v>833</v>
      </c>
      <c r="F692" s="53" t="s">
        <v>12</v>
      </c>
      <c r="G692" s="54">
        <v>44127</v>
      </c>
      <c r="H692" s="53">
        <v>1043</v>
      </c>
      <c r="I692" s="53">
        <v>966</v>
      </c>
      <c r="J692" s="39" t="s">
        <v>33</v>
      </c>
      <c r="K692" s="39" t="s">
        <v>929</v>
      </c>
      <c r="L692" s="39"/>
      <c r="M692" s="37">
        <v>44501</v>
      </c>
      <c r="N692" s="39">
        <v>5.64</v>
      </c>
      <c r="O692" s="40">
        <v>2307</v>
      </c>
    </row>
    <row r="693" spans="1:16" x14ac:dyDescent="0.55000000000000004">
      <c r="A693" s="24" t="str">
        <f>IF(COUNTIF(B693:$B$5014,B693)&gt;1,IF(COUNTIF($B$5:B693,B693)&gt;1,"",B693&amp;"-I"),B693)</f>
        <v/>
      </c>
      <c r="B693" s="29">
        <f t="shared" si="10"/>
        <v>987</v>
      </c>
      <c r="C693" s="36" t="s">
        <v>706</v>
      </c>
      <c r="D693" s="53">
        <v>850</v>
      </c>
      <c r="E693" s="53" t="s">
        <v>834</v>
      </c>
      <c r="F693" s="53" t="s">
        <v>11</v>
      </c>
      <c r="G693" s="54">
        <v>44128</v>
      </c>
      <c r="H693" s="53">
        <v>1043</v>
      </c>
      <c r="I693" s="53">
        <v>987</v>
      </c>
      <c r="J693" s="39" t="s">
        <v>33</v>
      </c>
      <c r="K693" s="39" t="s">
        <v>929</v>
      </c>
      <c r="L693" s="39"/>
      <c r="M693" s="37">
        <v>44501</v>
      </c>
      <c r="N693" s="39">
        <v>5.64</v>
      </c>
      <c r="O693" s="40">
        <v>2307</v>
      </c>
    </row>
    <row r="694" spans="1:16" x14ac:dyDescent="0.55000000000000004">
      <c r="A694" s="24" t="str">
        <f>IF(COUNTIF(B694:$B$5014,B694)&gt;1,IF(COUNTIF($B$5:B694,B694)&gt;1,"",B694&amp;"-I"),B694)</f>
        <v/>
      </c>
      <c r="B694" s="29">
        <f t="shared" si="10"/>
        <v>981</v>
      </c>
      <c r="C694" s="36" t="s">
        <v>707</v>
      </c>
      <c r="D694" s="53">
        <v>851</v>
      </c>
      <c r="E694" s="53" t="s">
        <v>834</v>
      </c>
      <c r="F694" s="53" t="s">
        <v>12</v>
      </c>
      <c r="G694" s="54">
        <v>44130</v>
      </c>
      <c r="H694" s="53">
        <v>1043</v>
      </c>
      <c r="I694" s="53">
        <v>981</v>
      </c>
      <c r="J694" s="39" t="s">
        <v>33</v>
      </c>
      <c r="K694" s="39" t="s">
        <v>929</v>
      </c>
      <c r="L694" s="39"/>
      <c r="M694" s="37">
        <v>44501</v>
      </c>
      <c r="N694" s="39">
        <v>5.64</v>
      </c>
      <c r="O694" s="40">
        <v>2307</v>
      </c>
      <c r="P694" s="24" t="s">
        <v>914</v>
      </c>
    </row>
    <row r="695" spans="1:16" x14ac:dyDescent="0.55000000000000004">
      <c r="A695" s="24" t="str">
        <f>IF(COUNTIF(B695:$B$5014,B695)&gt;1,IF(COUNTIF($B$5:B695,B695)&gt;1,"",B695&amp;"-I"),B695)</f>
        <v/>
      </c>
      <c r="B695" s="29">
        <f t="shared" si="10"/>
        <v>990</v>
      </c>
      <c r="C695" s="36" t="s">
        <v>708</v>
      </c>
      <c r="D695" s="53">
        <v>852</v>
      </c>
      <c r="E695" s="53" t="s">
        <v>833</v>
      </c>
      <c r="F695" s="53" t="s">
        <v>12</v>
      </c>
      <c r="G695" s="54">
        <v>44131</v>
      </c>
      <c r="H695" s="53">
        <v>1043</v>
      </c>
      <c r="I695" s="53">
        <v>990</v>
      </c>
      <c r="J695" s="39" t="s">
        <v>33</v>
      </c>
      <c r="K695" s="39" t="s">
        <v>929</v>
      </c>
      <c r="L695" s="39"/>
      <c r="M695" s="37">
        <v>44501</v>
      </c>
      <c r="N695" s="39">
        <v>5.64</v>
      </c>
      <c r="O695" s="40">
        <v>2307</v>
      </c>
    </row>
    <row r="696" spans="1:16" x14ac:dyDescent="0.55000000000000004">
      <c r="A696" s="24" t="str">
        <f>IF(COUNTIF(B696:$B$5014,B696)&gt;1,IF(COUNTIF($B$5:B696,B696)&gt;1,"",B696&amp;"-I"),B696)</f>
        <v/>
      </c>
      <c r="B696" s="29">
        <f t="shared" si="10"/>
        <v>983</v>
      </c>
      <c r="C696" s="36" t="s">
        <v>709</v>
      </c>
      <c r="D696" s="53">
        <v>853</v>
      </c>
      <c r="E696" s="53" t="s">
        <v>833</v>
      </c>
      <c r="F696" s="53" t="s">
        <v>12</v>
      </c>
      <c r="G696" s="54">
        <v>44132</v>
      </c>
      <c r="H696" s="53">
        <v>1043</v>
      </c>
      <c r="I696" s="53">
        <v>983</v>
      </c>
      <c r="J696" s="39" t="s">
        <v>33</v>
      </c>
      <c r="K696" s="39" t="s">
        <v>929</v>
      </c>
      <c r="L696" s="39"/>
      <c r="M696" s="37">
        <v>44501</v>
      </c>
      <c r="N696" s="39">
        <v>5.64</v>
      </c>
      <c r="O696" s="40">
        <v>2307</v>
      </c>
      <c r="P696" s="100" t="s">
        <v>913</v>
      </c>
    </row>
    <row r="697" spans="1:16" x14ac:dyDescent="0.55000000000000004">
      <c r="A697" s="24" t="str">
        <f>IF(COUNTIF(B697:$B$5014,B697)&gt;1,IF(COUNTIF($B$5:B697,B697)&gt;1,"",B697&amp;"-I"),B697)</f>
        <v/>
      </c>
      <c r="B697" s="29">
        <f t="shared" si="10"/>
        <v>969</v>
      </c>
      <c r="C697" s="36" t="s">
        <v>710</v>
      </c>
      <c r="D697" s="53">
        <v>854</v>
      </c>
      <c r="E697" s="53" t="s">
        <v>833</v>
      </c>
      <c r="F697" s="53" t="s">
        <v>11</v>
      </c>
      <c r="G697" s="54">
        <v>44132</v>
      </c>
      <c r="H697" s="53">
        <v>1043</v>
      </c>
      <c r="I697" s="53">
        <v>969</v>
      </c>
      <c r="J697" s="39" t="s">
        <v>33</v>
      </c>
      <c r="K697" s="39" t="s">
        <v>929</v>
      </c>
      <c r="L697" s="39"/>
      <c r="M697" s="37">
        <v>44501</v>
      </c>
      <c r="N697" s="39">
        <v>5.64</v>
      </c>
      <c r="O697" s="40">
        <v>2307</v>
      </c>
    </row>
    <row r="698" spans="1:16" x14ac:dyDescent="0.55000000000000004">
      <c r="A698" s="24" t="str">
        <f>IF(COUNTIF(B698:$B$5014,B698)&gt;1,IF(COUNTIF($B$5:B698,B698)&gt;1,"",B698&amp;"-I"),B698)</f>
        <v/>
      </c>
      <c r="B698" s="29">
        <f t="shared" si="10"/>
        <v>880</v>
      </c>
      <c r="C698" s="36" t="s">
        <v>711</v>
      </c>
      <c r="D698" s="53">
        <v>855</v>
      </c>
      <c r="E698" s="53" t="s">
        <v>833</v>
      </c>
      <c r="F698" s="53" t="s">
        <v>11</v>
      </c>
      <c r="G698" s="54">
        <v>44133</v>
      </c>
      <c r="H698" s="53">
        <v>1043</v>
      </c>
      <c r="I698" s="53">
        <v>880</v>
      </c>
      <c r="J698" s="39" t="s">
        <v>33</v>
      </c>
      <c r="K698" s="39" t="s">
        <v>929</v>
      </c>
      <c r="L698" s="39"/>
      <c r="M698" s="37">
        <v>44501</v>
      </c>
      <c r="N698" s="39">
        <v>5.64</v>
      </c>
      <c r="O698" s="40">
        <v>2307</v>
      </c>
    </row>
    <row r="699" spans="1:16" x14ac:dyDescent="0.55000000000000004">
      <c r="A699" s="24" t="str">
        <f>IF(COUNTIF(B699:$B$5014,B699)&gt;1,IF(COUNTIF($B$5:B699,B699)&gt;1,"",B699&amp;"-I"),B699)</f>
        <v/>
      </c>
      <c r="B699" s="29">
        <f t="shared" si="10"/>
        <v>946</v>
      </c>
      <c r="C699" s="36" t="s">
        <v>712</v>
      </c>
      <c r="D699" s="53">
        <v>856</v>
      </c>
      <c r="E699" s="53" t="s">
        <v>833</v>
      </c>
      <c r="F699" s="53" t="s">
        <v>12</v>
      </c>
      <c r="G699" s="54">
        <v>44137</v>
      </c>
      <c r="H699" s="53">
        <v>1043</v>
      </c>
      <c r="I699" s="53">
        <v>946</v>
      </c>
      <c r="J699" s="39" t="s">
        <v>33</v>
      </c>
      <c r="K699" s="39" t="s">
        <v>929</v>
      </c>
      <c r="L699" s="39"/>
      <c r="M699" s="37">
        <v>44501</v>
      </c>
      <c r="N699" s="39">
        <v>5.64</v>
      </c>
      <c r="O699" s="40">
        <v>2307</v>
      </c>
    </row>
    <row r="700" spans="1:16" x14ac:dyDescent="0.55000000000000004">
      <c r="A700" s="24" t="str">
        <f>IF(COUNTIF(B700:$B$5014,B700)&gt;1,IF(COUNTIF($B$5:B700,B700)&gt;1,"",B700&amp;"-I"),B700)</f>
        <v/>
      </c>
      <c r="B700" s="29">
        <f t="shared" si="10"/>
        <v>926</v>
      </c>
      <c r="C700" s="36" t="s">
        <v>713</v>
      </c>
      <c r="D700" s="53">
        <v>857</v>
      </c>
      <c r="E700" s="53" t="s">
        <v>833</v>
      </c>
      <c r="F700" s="53" t="s">
        <v>11</v>
      </c>
      <c r="G700" s="54">
        <v>44140</v>
      </c>
      <c r="H700" s="53">
        <v>1043</v>
      </c>
      <c r="I700" s="53">
        <v>926</v>
      </c>
      <c r="J700" s="39" t="s">
        <v>33</v>
      </c>
      <c r="K700" s="39" t="s">
        <v>929</v>
      </c>
      <c r="L700" s="39"/>
      <c r="M700" s="37">
        <v>44501</v>
      </c>
      <c r="N700" s="39">
        <v>5.64</v>
      </c>
      <c r="O700" s="40">
        <v>2307</v>
      </c>
    </row>
    <row r="701" spans="1:16" x14ac:dyDescent="0.55000000000000004">
      <c r="A701" s="24" t="str">
        <f>IF(COUNTIF(B701:$B$5014,B701)&gt;1,IF(COUNTIF($B$5:B701,B701)&gt;1,"",B701&amp;"-I"),B701)</f>
        <v/>
      </c>
      <c r="B701" s="29">
        <f t="shared" si="10"/>
        <v>885</v>
      </c>
      <c r="C701" s="36" t="s">
        <v>714</v>
      </c>
      <c r="D701" s="53">
        <v>858</v>
      </c>
      <c r="E701" s="53" t="s">
        <v>833</v>
      </c>
      <c r="F701" s="53" t="s">
        <v>11</v>
      </c>
      <c r="G701" s="54">
        <v>45548</v>
      </c>
      <c r="H701" s="53">
        <v>1055</v>
      </c>
      <c r="I701" s="53">
        <v>885</v>
      </c>
      <c r="J701" s="39" t="s">
        <v>33</v>
      </c>
      <c r="K701" s="39" t="s">
        <v>929</v>
      </c>
      <c r="L701" s="39"/>
      <c r="M701" s="37">
        <v>44501</v>
      </c>
      <c r="N701" s="39">
        <v>5.64</v>
      </c>
      <c r="O701" s="40">
        <v>2307</v>
      </c>
    </row>
    <row r="702" spans="1:16" x14ac:dyDescent="0.55000000000000004">
      <c r="A702" s="24">
        <f>IF(COUNTIF(B702:$B$5014,B702)&gt;1,IF(COUNTIF($B$5:B702,B702)&gt;1,"",B702&amp;"-I"),B702)</f>
        <v>949</v>
      </c>
      <c r="B702" s="29">
        <f t="shared" si="10"/>
        <v>949</v>
      </c>
      <c r="C702" s="36" t="s">
        <v>715</v>
      </c>
      <c r="D702" s="53">
        <v>859</v>
      </c>
      <c r="E702" s="53" t="s">
        <v>833</v>
      </c>
      <c r="F702" s="53" t="s">
        <v>12</v>
      </c>
      <c r="G702" s="54">
        <v>44152</v>
      </c>
      <c r="H702" s="53">
        <v>1055</v>
      </c>
      <c r="I702" s="53">
        <v>949</v>
      </c>
      <c r="J702" s="39" t="s">
        <v>33</v>
      </c>
      <c r="K702" s="39" t="s">
        <v>929</v>
      </c>
      <c r="L702" s="39"/>
      <c r="M702" s="37">
        <v>44501</v>
      </c>
      <c r="N702" s="39">
        <v>5.64</v>
      </c>
      <c r="O702" s="40">
        <v>2307</v>
      </c>
    </row>
    <row r="703" spans="1:16" x14ac:dyDescent="0.55000000000000004">
      <c r="A703" s="24" t="str">
        <f>IF(COUNTIF(B703:$B$5014,B703)&gt;1,IF(COUNTIF($B$5:B703,B703)&gt;1,"",B703&amp;"-I"),B703)</f>
        <v/>
      </c>
      <c r="B703" s="29">
        <f t="shared" si="10"/>
        <v>936</v>
      </c>
      <c r="C703" s="36" t="s">
        <v>716</v>
      </c>
      <c r="D703" s="53">
        <v>860</v>
      </c>
      <c r="E703" s="53" t="s">
        <v>833</v>
      </c>
      <c r="F703" s="53" t="s">
        <v>11</v>
      </c>
      <c r="G703" s="54">
        <v>44152</v>
      </c>
      <c r="H703" s="53">
        <v>1043</v>
      </c>
      <c r="I703" s="53">
        <v>936</v>
      </c>
      <c r="J703" s="39" t="s">
        <v>33</v>
      </c>
      <c r="K703" s="39" t="s">
        <v>929</v>
      </c>
      <c r="L703" s="39"/>
      <c r="M703" s="37">
        <v>44501</v>
      </c>
      <c r="N703" s="39">
        <v>5.64</v>
      </c>
      <c r="O703" s="40">
        <v>2307</v>
      </c>
    </row>
    <row r="704" spans="1:16" x14ac:dyDescent="0.55000000000000004">
      <c r="A704" s="24" t="str">
        <f>IF(COUNTIF(B704:$B$5014,B704)&gt;1,IF(COUNTIF($B$5:B704,B704)&gt;1,"",B704&amp;"-I"),B704)</f>
        <v/>
      </c>
      <c r="B704" s="29">
        <f t="shared" si="10"/>
        <v>976</v>
      </c>
      <c r="C704" s="36" t="s">
        <v>717</v>
      </c>
      <c r="D704" s="53">
        <v>861</v>
      </c>
      <c r="E704" s="53" t="s">
        <v>833</v>
      </c>
      <c r="F704" s="53" t="s">
        <v>11</v>
      </c>
      <c r="G704" s="54">
        <v>44158</v>
      </c>
      <c r="H704" s="53">
        <v>1043</v>
      </c>
      <c r="I704" s="53">
        <v>976</v>
      </c>
      <c r="J704" s="39" t="s">
        <v>33</v>
      </c>
      <c r="K704" s="39" t="s">
        <v>929</v>
      </c>
      <c r="L704" s="39"/>
      <c r="M704" s="37">
        <v>44501</v>
      </c>
      <c r="N704" s="39">
        <v>5.64</v>
      </c>
      <c r="O704" s="40">
        <v>2307</v>
      </c>
    </row>
    <row r="705" spans="1:16" x14ac:dyDescent="0.55000000000000004">
      <c r="A705" s="24" t="str">
        <f>IF(COUNTIF(B705:$B$5014,B705)&gt;1,IF(COUNTIF($B$5:B705,B705)&gt;1,"",B705&amp;"-I"),B705)</f>
        <v/>
      </c>
      <c r="B705" s="29">
        <f t="shared" si="10"/>
        <v>977</v>
      </c>
      <c r="C705" s="36" t="s">
        <v>718</v>
      </c>
      <c r="D705" s="53">
        <v>862</v>
      </c>
      <c r="E705" s="53" t="s">
        <v>834</v>
      </c>
      <c r="F705" s="53" t="s">
        <v>12</v>
      </c>
      <c r="G705" s="54">
        <v>44159</v>
      </c>
      <c r="H705" s="53">
        <v>1043</v>
      </c>
      <c r="I705" s="53">
        <v>977</v>
      </c>
      <c r="J705" s="39" t="s">
        <v>33</v>
      </c>
      <c r="K705" s="39" t="s">
        <v>929</v>
      </c>
      <c r="L705" s="39"/>
      <c r="M705" s="37">
        <v>44501</v>
      </c>
      <c r="N705" s="39">
        <v>5.64</v>
      </c>
      <c r="O705" s="40">
        <v>2307</v>
      </c>
    </row>
    <row r="706" spans="1:16" x14ac:dyDescent="0.55000000000000004">
      <c r="A706" s="24" t="str">
        <f>IF(COUNTIF(B706:$B$5014,B706)&gt;1,IF(COUNTIF($B$5:B706,B706)&gt;1,"",B706&amp;"-I"),B706)</f>
        <v/>
      </c>
      <c r="B706" s="29">
        <f t="shared" si="10"/>
        <v>967</v>
      </c>
      <c r="C706" s="36" t="s">
        <v>719</v>
      </c>
      <c r="D706" s="53">
        <v>863</v>
      </c>
      <c r="E706" s="53" t="s">
        <v>833</v>
      </c>
      <c r="F706" s="53" t="s">
        <v>12</v>
      </c>
      <c r="G706" s="54">
        <v>44179</v>
      </c>
      <c r="H706" s="53">
        <v>1043</v>
      </c>
      <c r="I706" s="53">
        <v>967</v>
      </c>
      <c r="J706" s="39" t="s">
        <v>33</v>
      </c>
      <c r="K706" s="39" t="s">
        <v>929</v>
      </c>
      <c r="L706" s="39"/>
      <c r="M706" s="37">
        <v>44501</v>
      </c>
      <c r="N706" s="39">
        <v>5.64</v>
      </c>
      <c r="O706" s="40">
        <v>2307</v>
      </c>
    </row>
    <row r="707" spans="1:16" x14ac:dyDescent="0.55000000000000004">
      <c r="A707" s="24" t="str">
        <f>IF(COUNTIF(B707:$B$5014,B707)&gt;1,IF(COUNTIF($B$5:B707,B707)&gt;1,"",B707&amp;"-I"),B707)</f>
        <v/>
      </c>
      <c r="B707" s="29">
        <f t="shared" si="10"/>
        <v>973</v>
      </c>
      <c r="C707" s="85" t="s">
        <v>720</v>
      </c>
      <c r="D707" s="96">
        <v>864</v>
      </c>
      <c r="E707" s="72" t="s">
        <v>833</v>
      </c>
      <c r="F707" s="72" t="s">
        <v>12</v>
      </c>
      <c r="G707" s="86">
        <v>44185</v>
      </c>
      <c r="H707" s="72">
        <v>1043</v>
      </c>
      <c r="I707" s="72">
        <v>973</v>
      </c>
      <c r="J707" s="47" t="s">
        <v>33</v>
      </c>
      <c r="K707" s="47" t="s">
        <v>1157</v>
      </c>
      <c r="L707" s="39" t="s">
        <v>902</v>
      </c>
      <c r="M707" s="47" t="s">
        <v>903</v>
      </c>
      <c r="N707" s="39"/>
      <c r="O707" s="50" t="s">
        <v>864</v>
      </c>
    </row>
    <row r="708" spans="1:16" x14ac:dyDescent="0.55000000000000004">
      <c r="A708" s="24">
        <f>IF(COUNTIF(B708:$B$5014,B708)&gt;1,IF(COUNTIF($B$5:B708,B708)&gt;1,"",B708&amp;"-I"),B708)</f>
        <v>875</v>
      </c>
      <c r="B708" s="29">
        <f t="shared" si="10"/>
        <v>875</v>
      </c>
      <c r="C708" s="36" t="s">
        <v>721</v>
      </c>
      <c r="D708" s="53">
        <v>865</v>
      </c>
      <c r="E708" s="53" t="s">
        <v>833</v>
      </c>
      <c r="F708" s="53" t="s">
        <v>12</v>
      </c>
      <c r="G708" s="54">
        <v>44197</v>
      </c>
      <c r="H708" s="53">
        <v>1055</v>
      </c>
      <c r="I708" s="53">
        <v>875</v>
      </c>
      <c r="J708" s="39" t="s">
        <v>33</v>
      </c>
      <c r="K708" s="39" t="s">
        <v>929</v>
      </c>
      <c r="L708" s="39"/>
      <c r="M708" s="37">
        <v>44501</v>
      </c>
      <c r="N708" s="39">
        <v>5.64</v>
      </c>
      <c r="O708" s="40">
        <v>2307</v>
      </c>
    </row>
    <row r="709" spans="1:16" x14ac:dyDescent="0.55000000000000004">
      <c r="A709" s="24" t="str">
        <f>IF(COUNTIF(B709:$B$5014,B709)&gt;1,IF(COUNTIF($B$5:B709,B709)&gt;1,"",B709&amp;"-I"),B709)</f>
        <v/>
      </c>
      <c r="B709" s="29">
        <f t="shared" ref="B709:B772" si="11">+I709</f>
        <v>980</v>
      </c>
      <c r="C709" s="36" t="s">
        <v>722</v>
      </c>
      <c r="D709" s="53">
        <v>866</v>
      </c>
      <c r="E709" s="53" t="s">
        <v>833</v>
      </c>
      <c r="F709" s="53" t="s">
        <v>11</v>
      </c>
      <c r="G709" s="54">
        <v>44223</v>
      </c>
      <c r="H709" s="53">
        <v>1043</v>
      </c>
      <c r="I709" s="53">
        <v>980</v>
      </c>
      <c r="J709" s="39" t="s">
        <v>33</v>
      </c>
      <c r="K709" s="39" t="s">
        <v>929</v>
      </c>
      <c r="L709" s="39"/>
      <c r="M709" s="37">
        <v>44501</v>
      </c>
      <c r="N709" s="39">
        <v>5.64</v>
      </c>
      <c r="O709" s="40">
        <v>2307</v>
      </c>
    </row>
    <row r="710" spans="1:16" x14ac:dyDescent="0.55000000000000004">
      <c r="A710" s="24">
        <f>IF(COUNTIF(B710:$B$5014,B710)&gt;1,IF(COUNTIF($B$5:B710,B710)&gt;1,"",B710&amp;"-I"),B710)</f>
        <v>882</v>
      </c>
      <c r="B710" s="29">
        <f t="shared" si="11"/>
        <v>882</v>
      </c>
      <c r="C710" s="36" t="s">
        <v>723</v>
      </c>
      <c r="D710" s="53">
        <v>867</v>
      </c>
      <c r="E710" s="53" t="s">
        <v>833</v>
      </c>
      <c r="F710" s="53" t="s">
        <v>12</v>
      </c>
      <c r="G710" s="54">
        <v>44287</v>
      </c>
      <c r="H710" s="53">
        <v>1043</v>
      </c>
      <c r="I710" s="53">
        <v>882</v>
      </c>
      <c r="J710" s="39" t="s">
        <v>33</v>
      </c>
      <c r="K710" s="39" t="s">
        <v>929</v>
      </c>
      <c r="L710" s="39"/>
      <c r="M710" s="37">
        <v>44501</v>
      </c>
      <c r="N710" s="39">
        <v>5.64</v>
      </c>
      <c r="O710" s="40">
        <v>2307</v>
      </c>
    </row>
    <row r="711" spans="1:16" x14ac:dyDescent="0.55000000000000004">
      <c r="A711" s="24" t="str">
        <f>IF(COUNTIF(B711:$B$5014,B711)&gt;1,IF(COUNTIF($B$5:B711,B711)&gt;1,"",B711&amp;"-I"),B711)</f>
        <v/>
      </c>
      <c r="B711" s="29">
        <f t="shared" si="11"/>
        <v>930</v>
      </c>
      <c r="C711" s="36" t="s">
        <v>724</v>
      </c>
      <c r="D711" s="53">
        <v>868</v>
      </c>
      <c r="E711" s="53" t="s">
        <v>833</v>
      </c>
      <c r="F711" s="53" t="s">
        <v>12</v>
      </c>
      <c r="G711" s="54">
        <v>44318</v>
      </c>
      <c r="H711" s="53">
        <v>1043</v>
      </c>
      <c r="I711" s="53">
        <v>930</v>
      </c>
      <c r="J711" s="39" t="s">
        <v>33</v>
      </c>
      <c r="K711" s="39" t="s">
        <v>930</v>
      </c>
      <c r="L711" s="39"/>
      <c r="M711" s="37">
        <v>44586</v>
      </c>
      <c r="N711" s="39">
        <v>5.01</v>
      </c>
      <c r="O711" s="40">
        <v>2135</v>
      </c>
    </row>
    <row r="712" spans="1:16" x14ac:dyDescent="0.55000000000000004">
      <c r="A712" s="24" t="str">
        <f>IF(COUNTIF(B712:$B$5014,B712)&gt;1,IF(COUNTIF($B$5:B712,B712)&gt;1,"",B712&amp;"-I"),B712)</f>
        <v/>
      </c>
      <c r="B712" s="29">
        <f t="shared" si="11"/>
        <v>959</v>
      </c>
      <c r="C712" s="36" t="s">
        <v>725</v>
      </c>
      <c r="D712" s="53">
        <v>869</v>
      </c>
      <c r="E712" s="53" t="s">
        <v>833</v>
      </c>
      <c r="F712" s="53" t="s">
        <v>11</v>
      </c>
      <c r="G712" s="54">
        <v>44319</v>
      </c>
      <c r="H712" s="53">
        <v>1043</v>
      </c>
      <c r="I712" s="53">
        <v>959</v>
      </c>
      <c r="J712" s="39" t="s">
        <v>33</v>
      </c>
      <c r="K712" s="39" t="s">
        <v>930</v>
      </c>
      <c r="L712" s="39"/>
      <c r="M712" s="37">
        <v>44586</v>
      </c>
      <c r="N712" s="39">
        <v>5.01</v>
      </c>
      <c r="O712" s="40">
        <v>2135</v>
      </c>
    </row>
    <row r="713" spans="1:16" x14ac:dyDescent="0.55000000000000004">
      <c r="A713" s="24" t="str">
        <f>IF(COUNTIF(B713:$B$5014,B713)&gt;1,IF(COUNTIF($B$5:B713,B713)&gt;1,"",B713&amp;"-I"),B713)</f>
        <v/>
      </c>
      <c r="B713" s="29">
        <f t="shared" si="11"/>
        <v>863</v>
      </c>
      <c r="C713" s="36" t="s">
        <v>726</v>
      </c>
      <c r="D713" s="53">
        <v>870</v>
      </c>
      <c r="E713" s="53" t="s">
        <v>833</v>
      </c>
      <c r="F713" s="53" t="s">
        <v>11</v>
      </c>
      <c r="G713" s="54">
        <v>44322</v>
      </c>
      <c r="H713" s="53">
        <v>1043</v>
      </c>
      <c r="I713" s="53">
        <v>863</v>
      </c>
      <c r="J713" s="39" t="s">
        <v>33</v>
      </c>
      <c r="K713" s="39" t="s">
        <v>930</v>
      </c>
      <c r="L713" s="39"/>
      <c r="M713" s="37">
        <v>44586</v>
      </c>
      <c r="N713" s="39">
        <v>5.01</v>
      </c>
      <c r="O713" s="40">
        <v>2135</v>
      </c>
    </row>
    <row r="714" spans="1:16" x14ac:dyDescent="0.55000000000000004">
      <c r="A714" s="24" t="str">
        <f>IF(COUNTIF(B714:$B$5014,B714)&gt;1,IF(COUNTIF($B$5:B714,B714)&gt;1,"",B714&amp;"-I"),B714)</f>
        <v/>
      </c>
      <c r="B714" s="29">
        <f t="shared" si="11"/>
        <v>947</v>
      </c>
      <c r="C714" s="36" t="s">
        <v>727</v>
      </c>
      <c r="D714" s="53">
        <v>871</v>
      </c>
      <c r="E714" s="53" t="s">
        <v>833</v>
      </c>
      <c r="F714" s="53" t="s">
        <v>11</v>
      </c>
      <c r="G714" s="54">
        <v>44324</v>
      </c>
      <c r="H714" s="53">
        <v>1043</v>
      </c>
      <c r="I714" s="53">
        <v>947</v>
      </c>
      <c r="J714" s="39" t="s">
        <v>33</v>
      </c>
      <c r="K714" s="39" t="s">
        <v>930</v>
      </c>
      <c r="L714" s="39"/>
      <c r="M714" s="37">
        <v>44586</v>
      </c>
      <c r="N714" s="39">
        <v>5.01</v>
      </c>
      <c r="O714" s="40">
        <v>2135</v>
      </c>
    </row>
    <row r="715" spans="1:16" x14ac:dyDescent="0.55000000000000004">
      <c r="A715" s="24" t="str">
        <f>IF(COUNTIF(B715:$B$5014,B715)&gt;1,IF(COUNTIF($B$5:B715,B715)&gt;1,"",B715&amp;"-I"),B715)</f>
        <v/>
      </c>
      <c r="B715" s="29">
        <f t="shared" si="11"/>
        <v>993</v>
      </c>
      <c r="C715" s="36" t="s">
        <v>728</v>
      </c>
      <c r="D715" s="53">
        <v>872</v>
      </c>
      <c r="E715" s="53" t="s">
        <v>833</v>
      </c>
      <c r="F715" s="53" t="s">
        <v>11</v>
      </c>
      <c r="G715" s="54">
        <v>44325</v>
      </c>
      <c r="H715" s="53">
        <v>1043</v>
      </c>
      <c r="I715" s="53">
        <v>993</v>
      </c>
      <c r="J715" s="39" t="s">
        <v>33</v>
      </c>
      <c r="K715" s="39" t="s">
        <v>930</v>
      </c>
      <c r="L715" s="39"/>
      <c r="M715" s="37">
        <v>44586</v>
      </c>
      <c r="N715" s="39">
        <v>5.01</v>
      </c>
      <c r="O715" s="40">
        <v>2135</v>
      </c>
    </row>
    <row r="716" spans="1:16" x14ac:dyDescent="0.55000000000000004">
      <c r="A716" s="24">
        <f>IF(COUNTIF(B716:$B$5014,B716)&gt;1,IF(COUNTIF($B$5:B716,B716)&gt;1,"",B716&amp;"-I"),B716)</f>
        <v>972</v>
      </c>
      <c r="B716" s="29">
        <f t="shared" si="11"/>
        <v>972</v>
      </c>
      <c r="C716" s="36" t="s">
        <v>729</v>
      </c>
      <c r="D716" s="53">
        <v>873</v>
      </c>
      <c r="E716" s="53" t="s">
        <v>833</v>
      </c>
      <c r="F716" s="53" t="s">
        <v>11</v>
      </c>
      <c r="G716" s="54">
        <v>44325</v>
      </c>
      <c r="H716" s="53">
        <v>1043</v>
      </c>
      <c r="I716" s="53">
        <v>972</v>
      </c>
      <c r="J716" s="39" t="s">
        <v>33</v>
      </c>
      <c r="K716" s="39" t="s">
        <v>930</v>
      </c>
      <c r="L716" s="39"/>
      <c r="M716" s="37">
        <v>44586</v>
      </c>
      <c r="N716" s="39">
        <v>5.01</v>
      </c>
      <c r="O716" s="40">
        <v>2135</v>
      </c>
    </row>
    <row r="717" spans="1:16" x14ac:dyDescent="0.55000000000000004">
      <c r="A717" s="24" t="str">
        <f>IF(COUNTIF(B717:$B$5014,B717)&gt;1,IF(COUNTIF($B$5:B717,B717)&gt;1,"",B717&amp;"-I"),B717)</f>
        <v/>
      </c>
      <c r="B717" s="29">
        <f t="shared" si="11"/>
        <v>984</v>
      </c>
      <c r="C717" s="36" t="s">
        <v>730</v>
      </c>
      <c r="D717" s="53">
        <v>874</v>
      </c>
      <c r="E717" s="53" t="s">
        <v>833</v>
      </c>
      <c r="F717" s="53" t="s">
        <v>12</v>
      </c>
      <c r="G717" s="54">
        <v>44328</v>
      </c>
      <c r="H717" s="53">
        <v>1043</v>
      </c>
      <c r="I717" s="53">
        <v>984</v>
      </c>
      <c r="J717" s="39" t="s">
        <v>33</v>
      </c>
      <c r="K717" s="39" t="s">
        <v>930</v>
      </c>
      <c r="L717" s="39"/>
      <c r="M717" s="37">
        <v>44586</v>
      </c>
      <c r="N717" s="39">
        <v>5.01</v>
      </c>
      <c r="O717" s="40">
        <v>2135</v>
      </c>
      <c r="P717" s="24" t="s">
        <v>914</v>
      </c>
    </row>
    <row r="718" spans="1:16" x14ac:dyDescent="0.55000000000000004">
      <c r="A718" s="24" t="str">
        <f>IF(COUNTIF(B718:$B$5014,B718)&gt;1,IF(COUNTIF($B$5:B718,B718)&gt;1,"",B718&amp;"-I"),B718)</f>
        <v/>
      </c>
      <c r="B718" s="29">
        <f t="shared" si="11"/>
        <v>858</v>
      </c>
      <c r="C718" s="36" t="s">
        <v>731</v>
      </c>
      <c r="D718" s="53">
        <v>875</v>
      </c>
      <c r="E718" s="53" t="s">
        <v>833</v>
      </c>
      <c r="F718" s="53" t="s">
        <v>12</v>
      </c>
      <c r="G718" s="54">
        <v>44330</v>
      </c>
      <c r="H718" s="53">
        <v>1043</v>
      </c>
      <c r="I718" s="53">
        <v>858</v>
      </c>
      <c r="J718" s="39" t="s">
        <v>33</v>
      </c>
      <c r="K718" s="39" t="s">
        <v>930</v>
      </c>
      <c r="L718" s="39"/>
      <c r="M718" s="37">
        <v>44586</v>
      </c>
      <c r="N718" s="39">
        <v>5.01</v>
      </c>
      <c r="O718" s="40">
        <v>2135</v>
      </c>
    </row>
    <row r="719" spans="1:16" x14ac:dyDescent="0.55000000000000004">
      <c r="A719" s="24" t="str">
        <f>IF(COUNTIF(B719:$B$5014,B719)&gt;1,IF(COUNTIF($B$5:B719,B719)&gt;1,"",B719&amp;"-I"),B719)</f>
        <v/>
      </c>
      <c r="B719" s="29">
        <f t="shared" si="11"/>
        <v>1010</v>
      </c>
      <c r="C719" s="36" t="s">
        <v>732</v>
      </c>
      <c r="D719" s="53">
        <v>876</v>
      </c>
      <c r="E719" s="53" t="s">
        <v>833</v>
      </c>
      <c r="F719" s="53" t="s">
        <v>11</v>
      </c>
      <c r="G719" s="54">
        <v>44330</v>
      </c>
      <c r="H719" s="53">
        <v>1043</v>
      </c>
      <c r="I719" s="53">
        <v>1010</v>
      </c>
      <c r="J719" s="39" t="s">
        <v>33</v>
      </c>
      <c r="K719" s="39" t="s">
        <v>930</v>
      </c>
      <c r="L719" s="39"/>
      <c r="M719" s="37">
        <v>44586</v>
      </c>
      <c r="N719" s="39">
        <v>5.01</v>
      </c>
      <c r="O719" s="40">
        <v>2135</v>
      </c>
    </row>
    <row r="720" spans="1:16" x14ac:dyDescent="0.55000000000000004">
      <c r="A720" s="24" t="str">
        <f>IF(COUNTIF(B720:$B$5014,B720)&gt;1,IF(COUNTIF($B$5:B720,B720)&gt;1,"",B720&amp;"-I"),B720)</f>
        <v/>
      </c>
      <c r="B720" s="29">
        <f t="shared" si="11"/>
        <v>862</v>
      </c>
      <c r="C720" s="36" t="s">
        <v>733</v>
      </c>
      <c r="D720" s="53">
        <v>877</v>
      </c>
      <c r="E720" s="53" t="s">
        <v>833</v>
      </c>
      <c r="F720" s="53" t="s">
        <v>12</v>
      </c>
      <c r="G720" s="54">
        <v>44330</v>
      </c>
      <c r="H720" s="53">
        <v>1043</v>
      </c>
      <c r="I720" s="53">
        <v>862</v>
      </c>
      <c r="J720" s="39" t="s">
        <v>33</v>
      </c>
      <c r="K720" s="39" t="s">
        <v>930</v>
      </c>
      <c r="L720" s="39"/>
      <c r="M720" s="37">
        <v>44586</v>
      </c>
      <c r="N720" s="39">
        <v>5.01</v>
      </c>
      <c r="O720" s="40">
        <v>2135</v>
      </c>
    </row>
    <row r="721" spans="1:15" x14ac:dyDescent="0.55000000000000004">
      <c r="A721" s="24" t="str">
        <f>IF(COUNTIF(B721:$B$5014,B721)&gt;1,IF(COUNTIF($B$5:B721,B721)&gt;1,"",B721&amp;"-I"),B721)</f>
        <v/>
      </c>
      <c r="B721" s="29">
        <f t="shared" si="11"/>
        <v>945</v>
      </c>
      <c r="C721" s="36" t="s">
        <v>734</v>
      </c>
      <c r="D721" s="53">
        <v>878</v>
      </c>
      <c r="E721" s="53" t="s">
        <v>833</v>
      </c>
      <c r="F721" s="53" t="s">
        <v>11</v>
      </c>
      <c r="G721" s="54">
        <v>44330</v>
      </c>
      <c r="H721" s="53">
        <v>1043</v>
      </c>
      <c r="I721" s="53">
        <v>945</v>
      </c>
      <c r="J721" s="39" t="s">
        <v>33</v>
      </c>
      <c r="K721" s="39" t="s">
        <v>930</v>
      </c>
      <c r="L721" s="39"/>
      <c r="M721" s="37">
        <v>44586</v>
      </c>
      <c r="N721" s="39">
        <v>5.01</v>
      </c>
      <c r="O721" s="40">
        <v>2135</v>
      </c>
    </row>
    <row r="722" spans="1:15" x14ac:dyDescent="0.55000000000000004">
      <c r="A722" s="24" t="str">
        <f>IF(COUNTIF(B722:$B$5014,B722)&gt;1,IF(COUNTIF($B$5:B722,B722)&gt;1,"",B722&amp;"-I"),B722)</f>
        <v/>
      </c>
      <c r="B722" s="29">
        <f t="shared" si="11"/>
        <v>889</v>
      </c>
      <c r="C722" s="36" t="s">
        <v>735</v>
      </c>
      <c r="D722" s="53">
        <v>879</v>
      </c>
      <c r="E722" s="53" t="s">
        <v>834</v>
      </c>
      <c r="F722" s="53" t="s">
        <v>11</v>
      </c>
      <c r="G722" s="54">
        <v>44342</v>
      </c>
      <c r="H722" s="53">
        <v>1043</v>
      </c>
      <c r="I722" s="53">
        <v>889</v>
      </c>
      <c r="J722" s="39" t="s">
        <v>33</v>
      </c>
      <c r="K722" s="39" t="s">
        <v>930</v>
      </c>
      <c r="L722" s="39"/>
      <c r="M722" s="37">
        <v>44586</v>
      </c>
      <c r="N722" s="39">
        <v>5.01</v>
      </c>
      <c r="O722" s="40">
        <v>2135</v>
      </c>
    </row>
    <row r="723" spans="1:15" x14ac:dyDescent="0.55000000000000004">
      <c r="A723" s="24" t="str">
        <f>IF(COUNTIF(B723:$B$5014,B723)&gt;1,IF(COUNTIF($B$5:B723,B723)&gt;1,"",B723&amp;"-I"),B723)</f>
        <v/>
      </c>
      <c r="B723" s="29">
        <f t="shared" si="11"/>
        <v>931</v>
      </c>
      <c r="C723" s="36" t="s">
        <v>736</v>
      </c>
      <c r="D723" s="53">
        <v>880</v>
      </c>
      <c r="E723" s="53" t="s">
        <v>834</v>
      </c>
      <c r="F723" s="53" t="s">
        <v>11</v>
      </c>
      <c r="G723" s="54">
        <v>44347</v>
      </c>
      <c r="H723" s="53">
        <v>1043</v>
      </c>
      <c r="I723" s="53">
        <v>931</v>
      </c>
      <c r="J723" s="39" t="s">
        <v>33</v>
      </c>
      <c r="K723" s="39" t="s">
        <v>930</v>
      </c>
      <c r="L723" s="39"/>
      <c r="M723" s="37">
        <v>44586</v>
      </c>
      <c r="N723" s="39">
        <v>5.01</v>
      </c>
      <c r="O723" s="40">
        <v>2135</v>
      </c>
    </row>
    <row r="724" spans="1:15" x14ac:dyDescent="0.55000000000000004">
      <c r="A724" s="24" t="str">
        <f>IF(COUNTIF(B724:$B$5014,B724)&gt;1,IF(COUNTIF($B$5:B724,B724)&gt;1,"",B724&amp;"-I"),B724)</f>
        <v/>
      </c>
      <c r="B724" s="29">
        <f t="shared" si="11"/>
        <v>854</v>
      </c>
      <c r="C724" s="98" t="s">
        <v>737</v>
      </c>
      <c r="D724" s="72">
        <v>881</v>
      </c>
      <c r="E724" s="72" t="s">
        <v>834</v>
      </c>
      <c r="F724" s="72" t="s">
        <v>12</v>
      </c>
      <c r="G724" s="86">
        <v>44354</v>
      </c>
      <c r="H724" s="72">
        <v>1055</v>
      </c>
      <c r="I724" s="72">
        <v>854</v>
      </c>
      <c r="J724" s="47" t="s">
        <v>33</v>
      </c>
      <c r="K724" s="47" t="s">
        <v>1158</v>
      </c>
      <c r="L724" s="39" t="s">
        <v>918</v>
      </c>
      <c r="M724" s="47" t="s">
        <v>919</v>
      </c>
      <c r="N724" s="87">
        <v>44378</v>
      </c>
      <c r="O724" s="50" t="s">
        <v>864</v>
      </c>
    </row>
    <row r="725" spans="1:15" x14ac:dyDescent="0.55000000000000004">
      <c r="A725" s="24" t="str">
        <f>IF(COUNTIF(B725:$B$5014,B725)&gt;1,IF(COUNTIF($B$5:B725,B725)&gt;1,"",B725&amp;"-I"),B725)</f>
        <v/>
      </c>
      <c r="B725" s="29">
        <f t="shared" si="11"/>
        <v>1011</v>
      </c>
      <c r="C725" s="36" t="s">
        <v>738</v>
      </c>
      <c r="D725" s="53">
        <v>882</v>
      </c>
      <c r="E725" s="53" t="s">
        <v>833</v>
      </c>
      <c r="F725" s="53" t="s">
        <v>11</v>
      </c>
      <c r="G725" s="54">
        <v>44357</v>
      </c>
      <c r="H725" s="53">
        <v>1043</v>
      </c>
      <c r="I725" s="53">
        <v>1011</v>
      </c>
      <c r="J725" s="39" t="s">
        <v>33</v>
      </c>
      <c r="K725" s="39" t="s">
        <v>930</v>
      </c>
      <c r="L725" s="39"/>
      <c r="M725" s="37">
        <v>44586</v>
      </c>
      <c r="N725" s="39">
        <v>5.01</v>
      </c>
      <c r="O725" s="40">
        <v>2135</v>
      </c>
    </row>
    <row r="726" spans="1:15" x14ac:dyDescent="0.55000000000000004">
      <c r="A726" s="24" t="str">
        <f>IF(COUNTIF(B726:$B$5014,B726)&gt;1,IF(COUNTIF($B$5:B726,B726)&gt;1,"",B726&amp;"-I"),B726)</f>
        <v/>
      </c>
      <c r="B726" s="29">
        <f t="shared" si="11"/>
        <v>978</v>
      </c>
      <c r="C726" s="36" t="s">
        <v>739</v>
      </c>
      <c r="D726" s="53">
        <v>883</v>
      </c>
      <c r="E726" s="53" t="s">
        <v>833</v>
      </c>
      <c r="F726" s="53" t="s">
        <v>11</v>
      </c>
      <c r="G726" s="54">
        <v>44368</v>
      </c>
      <c r="H726" s="53">
        <v>1055</v>
      </c>
      <c r="I726" s="53">
        <v>978</v>
      </c>
      <c r="J726" s="39" t="s">
        <v>33</v>
      </c>
      <c r="K726" s="39" t="s">
        <v>930</v>
      </c>
      <c r="L726" s="39"/>
      <c r="M726" s="37">
        <v>44586</v>
      </c>
      <c r="N726" s="39">
        <v>5.01</v>
      </c>
      <c r="O726" s="40">
        <v>2135</v>
      </c>
    </row>
    <row r="727" spans="1:15" x14ac:dyDescent="0.55000000000000004">
      <c r="A727" s="24" t="str">
        <f>IF(COUNTIF(B727:$B$5014,B727)&gt;1,IF(COUNTIF($B$5:B727,B727)&gt;1,"",B727&amp;"-I"),B727)</f>
        <v/>
      </c>
      <c r="B727" s="29">
        <f t="shared" si="11"/>
        <v>963</v>
      </c>
      <c r="C727" s="36" t="s">
        <v>740</v>
      </c>
      <c r="D727" s="53">
        <v>884</v>
      </c>
      <c r="E727" s="53" t="s">
        <v>833</v>
      </c>
      <c r="F727" s="53" t="s">
        <v>11</v>
      </c>
      <c r="G727" s="54">
        <v>44369</v>
      </c>
      <c r="H727" s="53">
        <v>1055</v>
      </c>
      <c r="I727" s="53">
        <v>963</v>
      </c>
      <c r="J727" s="39" t="s">
        <v>33</v>
      </c>
      <c r="K727" s="39" t="s">
        <v>930</v>
      </c>
      <c r="L727" s="39"/>
      <c r="M727" s="37">
        <v>44586</v>
      </c>
      <c r="N727" s="39">
        <v>5.01</v>
      </c>
      <c r="O727" s="40">
        <v>2135</v>
      </c>
    </row>
    <row r="728" spans="1:15" x14ac:dyDescent="0.55000000000000004">
      <c r="A728" s="24" t="str">
        <f>IF(COUNTIF(B728:$B$5014,B728)&gt;1,IF(COUNTIF($B$5:B728,B728)&gt;1,"",B728&amp;"-I"),B728)</f>
        <v/>
      </c>
      <c r="B728" s="29">
        <f t="shared" si="11"/>
        <v>881</v>
      </c>
      <c r="C728" s="36" t="s">
        <v>741</v>
      </c>
      <c r="D728" s="53">
        <v>885</v>
      </c>
      <c r="E728" s="53" t="s">
        <v>834</v>
      </c>
      <c r="F728" s="53" t="s">
        <v>12</v>
      </c>
      <c r="G728" s="54">
        <v>44371</v>
      </c>
      <c r="H728" s="53">
        <v>1055</v>
      </c>
      <c r="I728" s="53">
        <v>881</v>
      </c>
      <c r="J728" s="39" t="s">
        <v>33</v>
      </c>
      <c r="K728" s="39" t="s">
        <v>930</v>
      </c>
      <c r="L728" s="39"/>
      <c r="M728" s="37">
        <v>44586</v>
      </c>
      <c r="N728" s="39">
        <v>5.01</v>
      </c>
      <c r="O728" s="40">
        <v>2135</v>
      </c>
    </row>
    <row r="729" spans="1:15" x14ac:dyDescent="0.55000000000000004">
      <c r="A729" s="24" t="str">
        <f>IF(COUNTIF(B729:$B$5014,B729)&gt;1,IF(COUNTIF($B$5:B729,B729)&gt;1,"",B729&amp;"-I"),B729)</f>
        <v/>
      </c>
      <c r="B729" s="29">
        <f t="shared" si="11"/>
        <v>957</v>
      </c>
      <c r="C729" s="36" t="s">
        <v>742</v>
      </c>
      <c r="D729" s="53">
        <v>886</v>
      </c>
      <c r="E729" s="53" t="s">
        <v>833</v>
      </c>
      <c r="F729" s="53" t="s">
        <v>12</v>
      </c>
      <c r="G729" s="54">
        <v>44393</v>
      </c>
      <c r="H729" s="53">
        <v>1055</v>
      </c>
      <c r="I729" s="53">
        <v>957</v>
      </c>
      <c r="J729" s="39" t="s">
        <v>33</v>
      </c>
      <c r="K729" s="39" t="s">
        <v>967</v>
      </c>
      <c r="L729" s="39"/>
      <c r="M729" s="37">
        <v>44938</v>
      </c>
      <c r="N729" s="39">
        <v>6.02</v>
      </c>
      <c r="O729" s="40">
        <v>2073</v>
      </c>
    </row>
    <row r="730" spans="1:15" x14ac:dyDescent="0.55000000000000004">
      <c r="A730" s="24">
        <f>IF(COUNTIF(B730:$B$5014,B730)&gt;1,IF(COUNTIF($B$5:B730,B730)&gt;1,"",B730&amp;"-I"),B730)</f>
        <v>954</v>
      </c>
      <c r="B730" s="29">
        <f t="shared" si="11"/>
        <v>954</v>
      </c>
      <c r="C730" s="98" t="s">
        <v>743</v>
      </c>
      <c r="D730" s="72">
        <v>887</v>
      </c>
      <c r="E730" s="72" t="s">
        <v>834</v>
      </c>
      <c r="F730" s="72" t="s">
        <v>11</v>
      </c>
      <c r="G730" s="86">
        <v>44399</v>
      </c>
      <c r="H730" s="72">
        <v>1043</v>
      </c>
      <c r="I730" s="72">
        <v>954</v>
      </c>
      <c r="J730" s="47" t="s">
        <v>33</v>
      </c>
      <c r="K730" s="47" t="s">
        <v>1157</v>
      </c>
      <c r="L730" s="39" t="s">
        <v>917</v>
      </c>
      <c r="M730" s="87">
        <v>44402</v>
      </c>
      <c r="N730" s="47" t="s">
        <v>864</v>
      </c>
      <c r="O730" s="50" t="s">
        <v>864</v>
      </c>
    </row>
    <row r="731" spans="1:15" x14ac:dyDescent="0.55000000000000004">
      <c r="A731" s="24" t="str">
        <f>IF(COUNTIF(B731:$B$5014,B731)&gt;1,IF(COUNTIF($B$5:B731,B731)&gt;1,"",B731&amp;"-I"),B731)</f>
        <v/>
      </c>
      <c r="B731" s="29">
        <f t="shared" si="11"/>
        <v>985</v>
      </c>
      <c r="C731" s="85" t="s">
        <v>744</v>
      </c>
      <c r="D731" s="72" t="s">
        <v>13</v>
      </c>
      <c r="E731" s="72" t="s">
        <v>834</v>
      </c>
      <c r="F731" s="72" t="s">
        <v>915</v>
      </c>
      <c r="G731" s="95">
        <v>44399</v>
      </c>
      <c r="H731" s="96">
        <v>1043</v>
      </c>
      <c r="I731" s="96">
        <v>985</v>
      </c>
      <c r="J731" s="97" t="s">
        <v>33</v>
      </c>
      <c r="K731" s="97" t="s">
        <v>1157</v>
      </c>
      <c r="L731" s="39" t="s">
        <v>916</v>
      </c>
      <c r="M731" s="97"/>
      <c r="N731" s="97"/>
      <c r="O731" s="50"/>
    </row>
    <row r="732" spans="1:15" x14ac:dyDescent="0.55000000000000004">
      <c r="A732" s="24" t="str">
        <f>IF(COUNTIF(B732:$B$5014,B732)&gt;1,IF(COUNTIF($B$5:B732,B732)&gt;1,"",B732&amp;"-I"),B732)</f>
        <v/>
      </c>
      <c r="B732" s="29">
        <f t="shared" si="11"/>
        <v>867</v>
      </c>
      <c r="C732" s="36" t="s">
        <v>745</v>
      </c>
      <c r="D732" s="53">
        <v>888</v>
      </c>
      <c r="E732" s="53" t="s">
        <v>833</v>
      </c>
      <c r="F732" s="53" t="s">
        <v>11</v>
      </c>
      <c r="G732" s="54">
        <v>44408</v>
      </c>
      <c r="H732" s="53">
        <v>1043</v>
      </c>
      <c r="I732" s="53">
        <v>867</v>
      </c>
      <c r="J732" s="39" t="s">
        <v>33</v>
      </c>
      <c r="K732" s="39" t="s">
        <v>930</v>
      </c>
      <c r="L732" s="39"/>
      <c r="M732" s="37">
        <v>44586</v>
      </c>
      <c r="N732" s="58">
        <v>5.01</v>
      </c>
      <c r="O732" s="40">
        <v>2135</v>
      </c>
    </row>
    <row r="733" spans="1:15" x14ac:dyDescent="0.55000000000000004">
      <c r="A733" s="24" t="str">
        <f>IF(COUNTIF(B733:$B$5014,B733)&gt;1,IF(COUNTIF($B$5:B733,B733)&gt;1,"",B733&amp;"-I"),B733)</f>
        <v/>
      </c>
      <c r="B733" s="29">
        <f t="shared" si="11"/>
        <v>964</v>
      </c>
      <c r="C733" s="36" t="s">
        <v>746</v>
      </c>
      <c r="D733" s="53">
        <v>889</v>
      </c>
      <c r="E733" s="53" t="s">
        <v>833</v>
      </c>
      <c r="F733" s="53" t="s">
        <v>11</v>
      </c>
      <c r="G733" s="54">
        <v>44410</v>
      </c>
      <c r="H733" s="53">
        <v>1055</v>
      </c>
      <c r="I733" s="53">
        <v>964</v>
      </c>
      <c r="J733" s="39" t="s">
        <v>33</v>
      </c>
      <c r="K733" s="39" t="s">
        <v>930</v>
      </c>
      <c r="L733" s="39"/>
      <c r="M733" s="37">
        <v>44586</v>
      </c>
      <c r="N733" s="39">
        <v>5.01</v>
      </c>
      <c r="O733" s="40">
        <v>2135</v>
      </c>
    </row>
    <row r="734" spans="1:15" x14ac:dyDescent="0.55000000000000004">
      <c r="A734" s="24" t="str">
        <f>IF(COUNTIF(B734:$B$5014,B734)&gt;1,IF(COUNTIF($B$5:B734,B734)&gt;1,"",B734&amp;"-I"),B734)</f>
        <v/>
      </c>
      <c r="B734" s="29">
        <f t="shared" si="11"/>
        <v>939</v>
      </c>
      <c r="C734" s="36" t="s">
        <v>747</v>
      </c>
      <c r="D734" s="53">
        <v>890</v>
      </c>
      <c r="E734" s="53" t="s">
        <v>834</v>
      </c>
      <c r="F734" s="53" t="s">
        <v>12</v>
      </c>
      <c r="G734" s="54">
        <v>44411</v>
      </c>
      <c r="H734" s="53">
        <v>1043</v>
      </c>
      <c r="I734" s="53">
        <v>939</v>
      </c>
      <c r="J734" s="39" t="s">
        <v>33</v>
      </c>
      <c r="K734" s="39" t="s">
        <v>967</v>
      </c>
      <c r="L734" s="39"/>
      <c r="M734" s="37">
        <v>44938</v>
      </c>
      <c r="N734" s="39">
        <v>6.02</v>
      </c>
      <c r="O734" s="40">
        <v>2073</v>
      </c>
    </row>
    <row r="735" spans="1:15" x14ac:dyDescent="0.55000000000000004">
      <c r="A735" s="24" t="str">
        <f>IF(COUNTIF(B735:$B$5014,B735)&gt;1,IF(COUNTIF($B$5:B735,B735)&gt;1,"",B735&amp;"-I"),B735)</f>
        <v/>
      </c>
      <c r="B735" s="29">
        <f t="shared" si="11"/>
        <v>894</v>
      </c>
      <c r="C735" s="36" t="s">
        <v>748</v>
      </c>
      <c r="D735" s="53">
        <v>891</v>
      </c>
      <c r="E735" s="53" t="s">
        <v>833</v>
      </c>
      <c r="F735" s="53" t="s">
        <v>11</v>
      </c>
      <c r="G735" s="54">
        <v>44412</v>
      </c>
      <c r="H735" s="53">
        <v>1043</v>
      </c>
      <c r="I735" s="53">
        <v>894</v>
      </c>
      <c r="J735" s="39" t="s">
        <v>33</v>
      </c>
      <c r="K735" s="39" t="s">
        <v>930</v>
      </c>
      <c r="L735" s="39"/>
      <c r="M735" s="37">
        <v>44586</v>
      </c>
      <c r="N735" s="39">
        <v>5.01</v>
      </c>
      <c r="O735" s="40">
        <v>2135</v>
      </c>
    </row>
    <row r="736" spans="1:15" x14ac:dyDescent="0.55000000000000004">
      <c r="A736" s="24" t="str">
        <f>IF(COUNTIF(B736:$B$5014,B736)&gt;1,IF(COUNTIF($B$5:B736,B736)&gt;1,"",B736&amp;"-I"),B736)</f>
        <v/>
      </c>
      <c r="B736" s="29">
        <f t="shared" si="11"/>
        <v>884</v>
      </c>
      <c r="C736" s="36" t="s">
        <v>749</v>
      </c>
      <c r="D736" s="53">
        <v>892</v>
      </c>
      <c r="E736" s="53" t="s">
        <v>833</v>
      </c>
      <c r="F736" s="53" t="s">
        <v>11</v>
      </c>
      <c r="G736" s="54">
        <v>44413</v>
      </c>
      <c r="H736" s="53">
        <v>1055</v>
      </c>
      <c r="I736" s="53">
        <v>884</v>
      </c>
      <c r="J736" s="39" t="s">
        <v>33</v>
      </c>
      <c r="K736" s="39" t="s">
        <v>966</v>
      </c>
      <c r="L736" s="39"/>
      <c r="M736" s="37">
        <v>44931</v>
      </c>
      <c r="N736" s="39">
        <v>5.07</v>
      </c>
      <c r="O736" s="40">
        <v>2145</v>
      </c>
    </row>
    <row r="737" spans="1:16" x14ac:dyDescent="0.55000000000000004">
      <c r="A737" s="24" t="str">
        <f>IF(COUNTIF(B737:$B$5014,B737)&gt;1,IF(COUNTIF($B$5:B737,B737)&gt;1,"",B737&amp;"-I"),B737)</f>
        <v/>
      </c>
      <c r="B737" s="29">
        <f t="shared" si="11"/>
        <v>1009</v>
      </c>
      <c r="C737" s="36" t="s">
        <v>750</v>
      </c>
      <c r="D737" s="53">
        <v>893</v>
      </c>
      <c r="E737" s="53" t="s">
        <v>833</v>
      </c>
      <c r="F737" s="53" t="s">
        <v>11</v>
      </c>
      <c r="G737" s="54">
        <v>44417</v>
      </c>
      <c r="H737" s="53">
        <v>1055</v>
      </c>
      <c r="I737" s="53">
        <v>1009</v>
      </c>
      <c r="J737" s="39" t="s">
        <v>33</v>
      </c>
      <c r="K737" s="39" t="s">
        <v>966</v>
      </c>
      <c r="L737" s="39"/>
      <c r="M737" s="37">
        <v>44931</v>
      </c>
      <c r="N737" s="39">
        <v>7.03</v>
      </c>
      <c r="O737" s="40">
        <v>2974</v>
      </c>
    </row>
    <row r="738" spans="1:16" x14ac:dyDescent="0.55000000000000004">
      <c r="A738" s="24" t="str">
        <f>IF(COUNTIF(B738:$B$5014,B738)&gt;1,IF(COUNTIF($B$5:B738,B738)&gt;1,"",B738&amp;"-I"),B738)</f>
        <v/>
      </c>
      <c r="B738" s="29">
        <f t="shared" si="11"/>
        <v>1012</v>
      </c>
      <c r="C738" s="36" t="s">
        <v>751</v>
      </c>
      <c r="D738" s="53">
        <v>894</v>
      </c>
      <c r="E738" s="53" t="s">
        <v>833</v>
      </c>
      <c r="F738" s="53" t="s">
        <v>12</v>
      </c>
      <c r="G738" s="54">
        <v>44418</v>
      </c>
      <c r="H738" s="53">
        <v>1043</v>
      </c>
      <c r="I738" s="53">
        <v>1012</v>
      </c>
      <c r="J738" s="39" t="s">
        <v>33</v>
      </c>
      <c r="K738" s="39" t="s">
        <v>967</v>
      </c>
      <c r="L738" s="39"/>
      <c r="M738" s="37">
        <v>44938</v>
      </c>
      <c r="N738" s="39">
        <v>6.02</v>
      </c>
      <c r="O738" s="40">
        <v>2073</v>
      </c>
    </row>
    <row r="739" spans="1:16" x14ac:dyDescent="0.55000000000000004">
      <c r="A739" s="24" t="str">
        <f>IF(COUNTIF(B739:$B$5014,B739)&gt;1,IF(COUNTIF($B$5:B739,B739)&gt;1,"",B739&amp;"-I"),B739)</f>
        <v/>
      </c>
      <c r="B739" s="29">
        <f t="shared" si="11"/>
        <v>893</v>
      </c>
      <c r="C739" s="36" t="s">
        <v>752</v>
      </c>
      <c r="D739" s="53">
        <v>895</v>
      </c>
      <c r="E739" s="53" t="s">
        <v>833</v>
      </c>
      <c r="F739" s="53" t="s">
        <v>12</v>
      </c>
      <c r="G739" s="54">
        <v>44420</v>
      </c>
      <c r="H739" s="53">
        <v>1055</v>
      </c>
      <c r="I739" s="53">
        <v>893</v>
      </c>
      <c r="J739" s="39" t="s">
        <v>33</v>
      </c>
      <c r="K739" s="39" t="s">
        <v>967</v>
      </c>
      <c r="L739" s="39"/>
      <c r="M739" s="37">
        <v>44938</v>
      </c>
      <c r="N739" s="39">
        <v>6.02</v>
      </c>
      <c r="O739" s="40">
        <v>2073</v>
      </c>
    </row>
    <row r="740" spans="1:16" x14ac:dyDescent="0.55000000000000004">
      <c r="A740" s="24" t="str">
        <f>IF(COUNTIF(B740:$B$5014,B740)&gt;1,IF(COUNTIF($B$5:B740,B740)&gt;1,"",B740&amp;"-I"),B740)</f>
        <v/>
      </c>
      <c r="B740" s="29">
        <f t="shared" si="11"/>
        <v>899</v>
      </c>
      <c r="C740" s="36" t="s">
        <v>753</v>
      </c>
      <c r="D740" s="53">
        <v>896</v>
      </c>
      <c r="E740" s="53" t="s">
        <v>833</v>
      </c>
      <c r="F740" s="53" t="s">
        <v>12</v>
      </c>
      <c r="G740" s="54">
        <v>44423</v>
      </c>
      <c r="H740" s="53">
        <v>1055</v>
      </c>
      <c r="I740" s="53">
        <v>899</v>
      </c>
      <c r="J740" s="39" t="s">
        <v>33</v>
      </c>
      <c r="K740" s="39" t="s">
        <v>967</v>
      </c>
      <c r="L740" s="39"/>
      <c r="M740" s="37">
        <v>44938</v>
      </c>
      <c r="N740" s="39">
        <v>6.02</v>
      </c>
      <c r="O740" s="40">
        <v>2073</v>
      </c>
    </row>
    <row r="741" spans="1:16" x14ac:dyDescent="0.55000000000000004">
      <c r="A741" s="24" t="str">
        <f>IF(COUNTIF(B741:$B$5014,B741)&gt;1,IF(COUNTIF($B$5:B741,B741)&gt;1,"",B741&amp;"-I"),B741)</f>
        <v/>
      </c>
      <c r="B741" s="29">
        <f t="shared" si="11"/>
        <v>988</v>
      </c>
      <c r="C741" s="36" t="s">
        <v>754</v>
      </c>
      <c r="D741" s="53">
        <v>897</v>
      </c>
      <c r="E741" s="53" t="s">
        <v>833</v>
      </c>
      <c r="F741" s="53" t="s">
        <v>11</v>
      </c>
      <c r="G741" s="54">
        <v>44426</v>
      </c>
      <c r="H741" s="53">
        <v>1043</v>
      </c>
      <c r="I741" s="53">
        <v>988</v>
      </c>
      <c r="J741" s="39" t="s">
        <v>33</v>
      </c>
      <c r="K741" s="39" t="s">
        <v>967</v>
      </c>
      <c r="L741" s="39"/>
      <c r="M741" s="37">
        <v>44938</v>
      </c>
      <c r="N741" s="39">
        <v>6.02</v>
      </c>
      <c r="O741" s="40">
        <v>2229</v>
      </c>
      <c r="P741" s="100" t="s">
        <v>913</v>
      </c>
    </row>
    <row r="742" spans="1:16" x14ac:dyDescent="0.55000000000000004">
      <c r="A742" s="24">
        <f>IF(COUNTIF(B742:$B$5014,B742)&gt;1,IF(COUNTIF($B$5:B742,B742)&gt;1,"",B742&amp;"-I"),B742)</f>
        <v>898</v>
      </c>
      <c r="B742" s="29">
        <f t="shared" si="11"/>
        <v>898</v>
      </c>
      <c r="C742" s="36" t="s">
        <v>755</v>
      </c>
      <c r="D742" s="53">
        <v>898</v>
      </c>
      <c r="E742" s="53" t="s">
        <v>833</v>
      </c>
      <c r="F742" s="53" t="s">
        <v>12</v>
      </c>
      <c r="G742" s="54">
        <v>44431</v>
      </c>
      <c r="H742" s="53">
        <v>1055</v>
      </c>
      <c r="I742" s="53">
        <v>898</v>
      </c>
      <c r="J742" s="39" t="s">
        <v>33</v>
      </c>
      <c r="K742" s="39" t="s">
        <v>967</v>
      </c>
      <c r="L742" s="39"/>
      <c r="M742" s="37">
        <v>44938</v>
      </c>
      <c r="N742" s="39">
        <v>6.02</v>
      </c>
      <c r="O742" s="40">
        <v>2079</v>
      </c>
    </row>
    <row r="743" spans="1:16" x14ac:dyDescent="0.55000000000000004">
      <c r="A743" s="24" t="str">
        <f>IF(COUNTIF(B743:$B$5014,B743)&gt;1,IF(COUNTIF($B$5:B743,B743)&gt;1,"",B743&amp;"-I"),B743)</f>
        <v/>
      </c>
      <c r="B743" s="29">
        <f t="shared" si="11"/>
        <v>886</v>
      </c>
      <c r="C743" s="36" t="s">
        <v>756</v>
      </c>
      <c r="D743" s="53">
        <v>899</v>
      </c>
      <c r="E743" s="53" t="s">
        <v>833</v>
      </c>
      <c r="F743" s="53" t="s">
        <v>12</v>
      </c>
      <c r="G743" s="54">
        <v>44445</v>
      </c>
      <c r="H743" s="53">
        <v>1055</v>
      </c>
      <c r="I743" s="53">
        <v>886</v>
      </c>
      <c r="J743" s="39" t="s">
        <v>33</v>
      </c>
      <c r="K743" s="39" t="s">
        <v>967</v>
      </c>
      <c r="L743" s="39"/>
      <c r="M743" s="37">
        <v>44938</v>
      </c>
      <c r="N743" s="39">
        <v>6.02</v>
      </c>
      <c r="O743" s="40">
        <v>2079</v>
      </c>
    </row>
    <row r="744" spans="1:16" x14ac:dyDescent="0.55000000000000004">
      <c r="A744" s="24" t="str">
        <f>IF(COUNTIF(B744:$B$5014,B744)&gt;1,IF(COUNTIF($B$5:B744,B744)&gt;1,"",B744&amp;"-I"),B744)</f>
        <v/>
      </c>
      <c r="B744" s="29">
        <f t="shared" si="11"/>
        <v>865</v>
      </c>
      <c r="C744" s="36" t="s">
        <v>757</v>
      </c>
      <c r="D744" s="53">
        <v>900</v>
      </c>
      <c r="E744" s="53" t="s">
        <v>833</v>
      </c>
      <c r="F744" s="53" t="s">
        <v>12</v>
      </c>
      <c r="G744" s="54">
        <v>44450</v>
      </c>
      <c r="H744" s="53">
        <v>1055</v>
      </c>
      <c r="I744" s="53">
        <v>865</v>
      </c>
      <c r="J744" s="39" t="s">
        <v>33</v>
      </c>
      <c r="K744" s="39" t="s">
        <v>967</v>
      </c>
      <c r="L744" s="39"/>
      <c r="M744" s="37">
        <v>44938</v>
      </c>
      <c r="N744" s="39">
        <v>6.02</v>
      </c>
      <c r="O744" s="40">
        <v>2079</v>
      </c>
    </row>
    <row r="745" spans="1:16" x14ac:dyDescent="0.55000000000000004">
      <c r="A745" s="24">
        <f>IF(COUNTIF(B745:$B$5014,B745)&gt;1,IF(COUNTIF($B$5:B745,B745)&gt;1,"",B745&amp;"-I"),B745)</f>
        <v>950</v>
      </c>
      <c r="B745" s="29">
        <f t="shared" si="11"/>
        <v>950</v>
      </c>
      <c r="C745" s="36" t="s">
        <v>758</v>
      </c>
      <c r="D745" s="53">
        <v>901</v>
      </c>
      <c r="E745" s="53" t="s">
        <v>833</v>
      </c>
      <c r="F745" s="53" t="s">
        <v>11</v>
      </c>
      <c r="G745" s="54">
        <v>44478</v>
      </c>
      <c r="H745" s="53">
        <v>1043</v>
      </c>
      <c r="I745" s="53">
        <v>950</v>
      </c>
      <c r="J745" s="39" t="s">
        <v>33</v>
      </c>
      <c r="K745" s="39" t="s">
        <v>967</v>
      </c>
      <c r="L745" s="39"/>
      <c r="M745" s="37">
        <v>44938</v>
      </c>
      <c r="N745" s="39">
        <v>6.02</v>
      </c>
      <c r="O745" s="40">
        <v>2229</v>
      </c>
    </row>
    <row r="746" spans="1:16" x14ac:dyDescent="0.55000000000000004">
      <c r="A746" s="24" t="str">
        <f>IF(COUNTIF(B746:$B$5014,B746)&gt;1,IF(COUNTIF($B$5:B746,B746)&gt;1,"",B746&amp;"-I"),B746)</f>
        <v/>
      </c>
      <c r="B746" s="29">
        <f t="shared" si="11"/>
        <v>926</v>
      </c>
      <c r="C746" s="36" t="s">
        <v>759</v>
      </c>
      <c r="D746" s="53">
        <v>902</v>
      </c>
      <c r="E746" s="53" t="s">
        <v>834</v>
      </c>
      <c r="F746" s="53" t="s">
        <v>11</v>
      </c>
      <c r="G746" s="54">
        <v>44493</v>
      </c>
      <c r="H746" s="53">
        <v>1055</v>
      </c>
      <c r="I746" s="53">
        <v>926</v>
      </c>
      <c r="J746" s="39" t="s">
        <v>33</v>
      </c>
      <c r="K746" s="39" t="s">
        <v>967</v>
      </c>
      <c r="L746" s="39"/>
      <c r="M746" s="37">
        <v>44938</v>
      </c>
      <c r="N746" s="39">
        <v>6.02</v>
      </c>
      <c r="O746" s="40">
        <v>2229</v>
      </c>
    </row>
    <row r="747" spans="1:16" x14ac:dyDescent="0.55000000000000004">
      <c r="A747" s="24" t="str">
        <f>IF(COUNTIF(B747:$B$5014,B747)&gt;1,IF(COUNTIF($B$5:B747,B747)&gt;1,"",B747&amp;"-I"),B747)</f>
        <v/>
      </c>
      <c r="B747" s="29">
        <f t="shared" si="11"/>
        <v>967</v>
      </c>
      <c r="C747" s="36" t="s">
        <v>760</v>
      </c>
      <c r="D747" s="53">
        <v>903</v>
      </c>
      <c r="E747" s="53" t="s">
        <v>833</v>
      </c>
      <c r="F747" s="53" t="s">
        <v>12</v>
      </c>
      <c r="G747" s="54">
        <v>44498</v>
      </c>
      <c r="H747" s="53">
        <v>1055</v>
      </c>
      <c r="I747" s="53">
        <v>967</v>
      </c>
      <c r="J747" s="39" t="s">
        <v>33</v>
      </c>
      <c r="K747" s="39" t="s">
        <v>967</v>
      </c>
      <c r="L747" s="39"/>
      <c r="M747" s="37">
        <v>44938</v>
      </c>
      <c r="N747" s="39">
        <v>6.02</v>
      </c>
      <c r="O747" s="40">
        <v>2079</v>
      </c>
    </row>
    <row r="748" spans="1:16" x14ac:dyDescent="0.55000000000000004">
      <c r="A748" s="24" t="str">
        <f>IF(COUNTIF(B748:$B$5014,B748)&gt;1,IF(COUNTIF($B$5:B748,B748)&gt;1,"",B748&amp;"-I"),B748)</f>
        <v/>
      </c>
      <c r="B748" s="29">
        <f t="shared" si="11"/>
        <v>961</v>
      </c>
      <c r="C748" s="36" t="s">
        <v>761</v>
      </c>
      <c r="D748" s="53">
        <v>904</v>
      </c>
      <c r="E748" s="53" t="s">
        <v>833</v>
      </c>
      <c r="F748" s="53" t="s">
        <v>11</v>
      </c>
      <c r="G748" s="54">
        <v>44508</v>
      </c>
      <c r="H748" s="53">
        <v>1055</v>
      </c>
      <c r="I748" s="53">
        <v>961</v>
      </c>
      <c r="J748" s="39" t="s">
        <v>33</v>
      </c>
      <c r="K748" s="39" t="s">
        <v>967</v>
      </c>
      <c r="L748" s="39"/>
      <c r="M748" s="37">
        <v>44938</v>
      </c>
      <c r="N748" s="39">
        <v>6.02</v>
      </c>
      <c r="O748" s="40">
        <v>2229</v>
      </c>
    </row>
    <row r="749" spans="1:16" x14ac:dyDescent="0.55000000000000004">
      <c r="A749" s="24">
        <f>IF(COUNTIF(B749:$B$5014,B749)&gt;1,IF(COUNTIF($B$5:B749,B749)&gt;1,"",B749&amp;"-I"),B749)</f>
        <v>877</v>
      </c>
      <c r="B749" s="29">
        <f t="shared" si="11"/>
        <v>877</v>
      </c>
      <c r="C749" s="36" t="s">
        <v>762</v>
      </c>
      <c r="D749" s="53">
        <v>905</v>
      </c>
      <c r="E749" s="53" t="s">
        <v>833</v>
      </c>
      <c r="F749" s="53" t="s">
        <v>12</v>
      </c>
      <c r="G749" s="54">
        <v>44510</v>
      </c>
      <c r="H749" s="53">
        <v>1055</v>
      </c>
      <c r="I749" s="53">
        <v>877</v>
      </c>
      <c r="J749" s="39" t="s">
        <v>33</v>
      </c>
      <c r="K749" s="39" t="s">
        <v>967</v>
      </c>
      <c r="L749" s="39"/>
      <c r="M749" s="37">
        <v>44938</v>
      </c>
      <c r="N749" s="39">
        <v>6.02</v>
      </c>
      <c r="O749" s="40">
        <v>2079</v>
      </c>
    </row>
    <row r="750" spans="1:16" x14ac:dyDescent="0.55000000000000004">
      <c r="A750" s="24" t="str">
        <f>IF(COUNTIF(B750:$B$5014,B750)&gt;1,IF(COUNTIF($B$5:B750,B750)&gt;1,"",B750&amp;"-I"),B750)</f>
        <v/>
      </c>
      <c r="B750" s="29">
        <f t="shared" si="11"/>
        <v>969</v>
      </c>
      <c r="C750" s="36" t="s">
        <v>763</v>
      </c>
      <c r="D750" s="53">
        <v>906</v>
      </c>
      <c r="E750" s="53" t="s">
        <v>833</v>
      </c>
      <c r="F750" s="53" t="s">
        <v>11</v>
      </c>
      <c r="G750" s="54">
        <v>44513</v>
      </c>
      <c r="H750" s="53">
        <v>1055</v>
      </c>
      <c r="I750" s="53">
        <v>969</v>
      </c>
      <c r="J750" s="39" t="s">
        <v>33</v>
      </c>
      <c r="K750" s="39" t="s">
        <v>967</v>
      </c>
      <c r="L750" s="39"/>
      <c r="M750" s="37">
        <v>44938</v>
      </c>
      <c r="N750" s="39">
        <v>6.02</v>
      </c>
      <c r="O750" s="40">
        <v>2229</v>
      </c>
    </row>
    <row r="751" spans="1:16" x14ac:dyDescent="0.55000000000000004">
      <c r="A751" s="24" t="str">
        <f>IF(COUNTIF(B751:$B$5014,B751)&gt;1,IF(COUNTIF($B$5:B751,B751)&gt;1,"",B751&amp;"-I"),B751)</f>
        <v/>
      </c>
      <c r="B751" s="29">
        <f t="shared" si="11"/>
        <v>992</v>
      </c>
      <c r="C751" s="36" t="s">
        <v>764</v>
      </c>
      <c r="D751" s="53">
        <v>907</v>
      </c>
      <c r="E751" s="53" t="s">
        <v>833</v>
      </c>
      <c r="F751" s="53" t="s">
        <v>12</v>
      </c>
      <c r="G751" s="54">
        <v>44514</v>
      </c>
      <c r="H751" s="53">
        <v>1055</v>
      </c>
      <c r="I751" s="53">
        <v>992</v>
      </c>
      <c r="J751" s="39" t="s">
        <v>33</v>
      </c>
      <c r="K751" s="39" t="s">
        <v>967</v>
      </c>
      <c r="L751" s="39"/>
      <c r="M751" s="37">
        <v>44938</v>
      </c>
      <c r="N751" s="39">
        <v>6.02</v>
      </c>
      <c r="O751" s="40">
        <v>2079</v>
      </c>
    </row>
    <row r="752" spans="1:16" x14ac:dyDescent="0.55000000000000004">
      <c r="A752" s="24" t="str">
        <f>IF(COUNTIF(B752:$B$5014,B752)&gt;1,IF(COUNTIF($B$5:B752,B752)&gt;1,"",B752&amp;"-I"),B752)</f>
        <v/>
      </c>
      <c r="B752" s="29">
        <f t="shared" si="11"/>
        <v>973</v>
      </c>
      <c r="C752" s="36" t="s">
        <v>765</v>
      </c>
      <c r="D752" s="53">
        <v>908</v>
      </c>
      <c r="E752" s="53" t="s">
        <v>833</v>
      </c>
      <c r="F752" s="53" t="s">
        <v>12</v>
      </c>
      <c r="G752" s="54">
        <v>44517</v>
      </c>
      <c r="H752" s="53">
        <v>1055</v>
      </c>
      <c r="I752" s="53">
        <v>973</v>
      </c>
      <c r="J752" s="39" t="s">
        <v>33</v>
      </c>
      <c r="K752" s="39" t="s">
        <v>967</v>
      </c>
      <c r="L752" s="39"/>
      <c r="M752" s="37">
        <v>44938</v>
      </c>
      <c r="N752" s="39">
        <v>6.02</v>
      </c>
      <c r="O752" s="40">
        <v>2079</v>
      </c>
    </row>
    <row r="753" spans="1:15" x14ac:dyDescent="0.55000000000000004">
      <c r="A753" s="24" t="str">
        <f>IF(COUNTIF(B753:$B$5014,B753)&gt;1,IF(COUNTIF($B$5:B753,B753)&gt;1,"",B753&amp;"-I"),B753)</f>
        <v/>
      </c>
      <c r="B753" s="29">
        <f t="shared" si="11"/>
        <v>873</v>
      </c>
      <c r="C753" s="36" t="s">
        <v>766</v>
      </c>
      <c r="D753" s="53">
        <v>909</v>
      </c>
      <c r="E753" s="53" t="s">
        <v>833</v>
      </c>
      <c r="F753" s="53" t="s">
        <v>11</v>
      </c>
      <c r="G753" s="54">
        <v>44519</v>
      </c>
      <c r="H753" s="53">
        <v>1055</v>
      </c>
      <c r="I753" s="53">
        <v>873</v>
      </c>
      <c r="J753" s="39" t="s">
        <v>33</v>
      </c>
      <c r="K753" s="39" t="s">
        <v>967</v>
      </c>
      <c r="L753" s="39"/>
      <c r="M753" s="37">
        <v>44938</v>
      </c>
      <c r="N753" s="39">
        <v>6.02</v>
      </c>
      <c r="O753" s="40">
        <v>2229</v>
      </c>
    </row>
    <row r="754" spans="1:15" x14ac:dyDescent="0.55000000000000004">
      <c r="A754" s="24" t="str">
        <f>IF(COUNTIF(B754:$B$5014,B754)&gt;1,IF(COUNTIF($B$5:B754,B754)&gt;1,"",B754&amp;"-I"),B754)</f>
        <v/>
      </c>
      <c r="B754" s="29">
        <f t="shared" si="11"/>
        <v>977</v>
      </c>
      <c r="C754" s="36" t="s">
        <v>767</v>
      </c>
      <c r="D754" s="53">
        <v>910</v>
      </c>
      <c r="E754" s="53" t="s">
        <v>834</v>
      </c>
      <c r="F754" s="53" t="s">
        <v>12</v>
      </c>
      <c r="G754" s="54">
        <v>44522</v>
      </c>
      <c r="H754" s="53">
        <v>1055</v>
      </c>
      <c r="I754" s="53">
        <v>977</v>
      </c>
      <c r="J754" s="39" t="s">
        <v>33</v>
      </c>
      <c r="K754" s="39" t="s">
        <v>967</v>
      </c>
      <c r="L754" s="39"/>
      <c r="M754" s="37">
        <v>44938</v>
      </c>
      <c r="N754" s="39">
        <v>6.02</v>
      </c>
      <c r="O754" s="40">
        <v>2079</v>
      </c>
    </row>
    <row r="755" spans="1:15" x14ac:dyDescent="0.55000000000000004">
      <c r="A755" s="24" t="str">
        <f>IF(COUNTIF(B755:$B$5014,B755)&gt;1,IF(COUNTIF($B$5:B755,B755)&gt;1,"",B755&amp;"-I"),B755)</f>
        <v/>
      </c>
      <c r="B755" s="29">
        <f t="shared" si="11"/>
        <v>934</v>
      </c>
      <c r="C755" s="36" t="s">
        <v>768</v>
      </c>
      <c r="D755" s="53">
        <v>911</v>
      </c>
      <c r="E755" s="53" t="s">
        <v>833</v>
      </c>
      <c r="F755" s="53" t="s">
        <v>12</v>
      </c>
      <c r="G755" s="54">
        <v>44537</v>
      </c>
      <c r="H755" s="53">
        <v>1055</v>
      </c>
      <c r="I755" s="53">
        <v>934</v>
      </c>
      <c r="J755" s="39" t="s">
        <v>33</v>
      </c>
      <c r="K755" s="39" t="s">
        <v>967</v>
      </c>
      <c r="L755" s="39"/>
      <c r="M755" s="37">
        <v>44938</v>
      </c>
      <c r="N755" s="39">
        <v>6.02</v>
      </c>
      <c r="O755" s="40">
        <v>2079</v>
      </c>
    </row>
    <row r="756" spans="1:15" x14ac:dyDescent="0.55000000000000004">
      <c r="A756" s="24" t="str">
        <f>IF(COUNTIF(B756:$B$5014,B756)&gt;1,IF(COUNTIF($B$5:B756,B756)&gt;1,"",B756&amp;"-I"),B756)</f>
        <v/>
      </c>
      <c r="B756" s="29">
        <f t="shared" si="11"/>
        <v>943</v>
      </c>
      <c r="C756" s="36" t="s">
        <v>769</v>
      </c>
      <c r="D756" s="53">
        <v>912</v>
      </c>
      <c r="E756" s="53" t="s">
        <v>833</v>
      </c>
      <c r="F756" s="53" t="s">
        <v>12</v>
      </c>
      <c r="G756" s="54">
        <v>44540</v>
      </c>
      <c r="H756" s="53">
        <v>1055</v>
      </c>
      <c r="I756" s="53">
        <v>943</v>
      </c>
      <c r="J756" s="39" t="s">
        <v>33</v>
      </c>
      <c r="K756" s="39" t="s">
        <v>967</v>
      </c>
      <c r="L756" s="39"/>
      <c r="M756" s="37">
        <v>44938</v>
      </c>
      <c r="N756" s="39">
        <v>6.02</v>
      </c>
      <c r="O756" s="40">
        <v>2079</v>
      </c>
    </row>
    <row r="757" spans="1:15" x14ac:dyDescent="0.55000000000000004">
      <c r="A757" s="24" t="str">
        <f>IF(COUNTIF(B757:$B$5014,B757)&gt;1,IF(COUNTIF($B$5:B757,B757)&gt;1,"",B757&amp;"-I"),B757)</f>
        <v/>
      </c>
      <c r="B757" s="29">
        <f t="shared" si="11"/>
        <v>966</v>
      </c>
      <c r="C757" s="36" t="s">
        <v>770</v>
      </c>
      <c r="D757" s="53">
        <v>913</v>
      </c>
      <c r="E757" s="53" t="s">
        <v>833</v>
      </c>
      <c r="F757" s="53" t="s">
        <v>11</v>
      </c>
      <c r="G757" s="54">
        <v>44544</v>
      </c>
      <c r="H757" s="53">
        <v>1055</v>
      </c>
      <c r="I757" s="53">
        <v>966</v>
      </c>
      <c r="J757" s="39" t="s">
        <v>33</v>
      </c>
      <c r="K757" s="39" t="s">
        <v>967</v>
      </c>
      <c r="L757" s="39"/>
      <c r="M757" s="37">
        <v>44938</v>
      </c>
      <c r="N757" s="39">
        <v>6.02</v>
      </c>
      <c r="O757" s="40">
        <v>2229</v>
      </c>
    </row>
    <row r="758" spans="1:15" x14ac:dyDescent="0.55000000000000004">
      <c r="A758" s="24" t="str">
        <f>IF(COUNTIF(B758:$B$5014,B758)&gt;1,IF(COUNTIF($B$5:B758,B758)&gt;1,"",B758&amp;"-I"),B758)</f>
        <v/>
      </c>
      <c r="B758" s="29">
        <f t="shared" si="11"/>
        <v>987</v>
      </c>
      <c r="C758" s="36" t="s">
        <v>771</v>
      </c>
      <c r="D758" s="53">
        <v>914</v>
      </c>
      <c r="E758" s="53" t="s">
        <v>833</v>
      </c>
      <c r="F758" s="53" t="s">
        <v>12</v>
      </c>
      <c r="G758" s="54">
        <v>44551</v>
      </c>
      <c r="H758" s="53">
        <v>1055</v>
      </c>
      <c r="I758" s="53">
        <v>987</v>
      </c>
      <c r="J758" s="39" t="s">
        <v>33</v>
      </c>
      <c r="K758" s="39" t="s">
        <v>967</v>
      </c>
      <c r="L758" s="39"/>
      <c r="M758" s="37">
        <v>44938</v>
      </c>
      <c r="N758" s="39">
        <v>6.02</v>
      </c>
      <c r="O758" s="40">
        <v>2079</v>
      </c>
    </row>
    <row r="759" spans="1:15" x14ac:dyDescent="0.55000000000000004">
      <c r="A759" s="24" t="str">
        <f>IF(COUNTIF(B759:$B$5014,B759)&gt;1,IF(COUNTIF($B$5:B759,B759)&gt;1,"",B759&amp;"-I"),B759)</f>
        <v/>
      </c>
      <c r="B759" s="29">
        <f t="shared" si="11"/>
        <v>946</v>
      </c>
      <c r="C759" s="36" t="s">
        <v>772</v>
      </c>
      <c r="D759" s="53">
        <v>915</v>
      </c>
      <c r="E759" s="53" t="s">
        <v>833</v>
      </c>
      <c r="F759" s="53" t="s">
        <v>12</v>
      </c>
      <c r="G759" s="54">
        <v>44560</v>
      </c>
      <c r="H759" s="53">
        <v>1055</v>
      </c>
      <c r="I759" s="53">
        <v>946</v>
      </c>
      <c r="J759" s="39" t="s">
        <v>33</v>
      </c>
      <c r="K759" s="39" t="s">
        <v>967</v>
      </c>
      <c r="L759" s="39"/>
      <c r="M759" s="37">
        <v>44938</v>
      </c>
      <c r="N759" s="39">
        <v>6.02</v>
      </c>
      <c r="O759" s="40">
        <v>2079</v>
      </c>
    </row>
    <row r="760" spans="1:15" x14ac:dyDescent="0.55000000000000004">
      <c r="A760" s="24" t="str">
        <f>IF(COUNTIF(B760:$B$5014,B760)&gt;1,IF(COUNTIF($B$5:B760,B760)&gt;1,"",B760&amp;"-I"),B760)</f>
        <v/>
      </c>
      <c r="B760" s="29">
        <f t="shared" si="11"/>
        <v>885</v>
      </c>
      <c r="C760" s="85" t="s">
        <v>773</v>
      </c>
      <c r="D760" s="53">
        <v>916</v>
      </c>
      <c r="E760" s="53" t="s">
        <v>834</v>
      </c>
      <c r="F760" s="53" t="s">
        <v>12</v>
      </c>
      <c r="G760" s="54">
        <v>44566</v>
      </c>
      <c r="H760" s="53">
        <v>1055</v>
      </c>
      <c r="I760" s="53">
        <v>885</v>
      </c>
      <c r="J760" s="39" t="s">
        <v>33</v>
      </c>
      <c r="K760" s="47" t="s">
        <v>1157</v>
      </c>
      <c r="L760" s="47" t="s">
        <v>934</v>
      </c>
      <c r="M760" s="87">
        <v>44567</v>
      </c>
      <c r="N760" s="39" t="s">
        <v>864</v>
      </c>
      <c r="O760" s="40" t="s">
        <v>864</v>
      </c>
    </row>
    <row r="761" spans="1:15" x14ac:dyDescent="0.55000000000000004">
      <c r="A761" s="24" t="str">
        <f>IF(COUNTIF(B761:$B$5014,B761)&gt;1,IF(COUNTIF($B$5:B761,B761)&gt;1,"",B761&amp;"-I"),B761)</f>
        <v/>
      </c>
      <c r="B761" s="29">
        <f t="shared" si="11"/>
        <v>933</v>
      </c>
      <c r="C761" s="85" t="s">
        <v>774</v>
      </c>
      <c r="D761" s="53">
        <v>917</v>
      </c>
      <c r="E761" s="53" t="s">
        <v>833</v>
      </c>
      <c r="F761" s="53" t="s">
        <v>12</v>
      </c>
      <c r="G761" s="54">
        <v>44568</v>
      </c>
      <c r="H761" s="53">
        <v>1055</v>
      </c>
      <c r="I761" s="53">
        <v>933</v>
      </c>
      <c r="J761" s="39" t="s">
        <v>33</v>
      </c>
      <c r="K761" s="47" t="s">
        <v>1157</v>
      </c>
      <c r="L761" s="47" t="s">
        <v>936</v>
      </c>
      <c r="M761" s="47" t="s">
        <v>931</v>
      </c>
      <c r="N761" s="47" t="s">
        <v>932</v>
      </c>
      <c r="O761" s="50" t="s">
        <v>933</v>
      </c>
    </row>
    <row r="762" spans="1:15" x14ac:dyDescent="0.55000000000000004">
      <c r="A762" s="24" t="str">
        <f>IF(COUNTIF(B762:$B$5014,B762)&gt;1,IF(COUNTIF($B$5:B762,B762)&gt;1,"",B762&amp;"-I"),B762)</f>
        <v/>
      </c>
      <c r="B762" s="29">
        <f t="shared" si="11"/>
        <v>933</v>
      </c>
      <c r="C762" s="36" t="s">
        <v>775</v>
      </c>
      <c r="D762" s="53">
        <v>918</v>
      </c>
      <c r="E762" s="53" t="s">
        <v>833</v>
      </c>
      <c r="F762" s="53" t="s">
        <v>11</v>
      </c>
      <c r="G762" s="54">
        <v>44568</v>
      </c>
      <c r="H762" s="53">
        <v>1055</v>
      </c>
      <c r="I762" s="53">
        <v>933</v>
      </c>
      <c r="J762" s="39" t="s">
        <v>33</v>
      </c>
      <c r="K762" s="126" t="s">
        <v>967</v>
      </c>
      <c r="L762" s="126"/>
      <c r="M762" s="37">
        <v>44938</v>
      </c>
      <c r="N762" s="39">
        <v>6.02</v>
      </c>
      <c r="O762" s="40">
        <v>2229</v>
      </c>
    </row>
    <row r="763" spans="1:15" x14ac:dyDescent="0.55000000000000004">
      <c r="A763" s="24" t="str">
        <f>IF(COUNTIF(B763:$B$5014,B763)&gt;1,IF(COUNTIF($B$5:B763,B763)&gt;1,"",B763&amp;"-I"),B763)</f>
        <v/>
      </c>
      <c r="B763" s="29">
        <f t="shared" si="11"/>
        <v>990</v>
      </c>
      <c r="C763" s="36" t="s">
        <v>776</v>
      </c>
      <c r="D763" s="53">
        <v>919</v>
      </c>
      <c r="E763" s="53" t="s">
        <v>833</v>
      </c>
      <c r="F763" s="53" t="s">
        <v>12</v>
      </c>
      <c r="G763" s="54">
        <v>44579</v>
      </c>
      <c r="H763" s="53">
        <v>1055</v>
      </c>
      <c r="I763" s="53">
        <v>990</v>
      </c>
      <c r="J763" s="39" t="s">
        <v>33</v>
      </c>
      <c r="K763" s="39" t="s">
        <v>967</v>
      </c>
      <c r="L763" s="39"/>
      <c r="M763" s="37">
        <v>44938</v>
      </c>
      <c r="N763" s="39">
        <v>6.02</v>
      </c>
      <c r="O763" s="40">
        <v>2079</v>
      </c>
    </row>
    <row r="764" spans="1:15" x14ac:dyDescent="0.55000000000000004">
      <c r="A764" s="24" t="str">
        <f>IF(COUNTIF(B764:$B$5014,B764)&gt;1,IF(COUNTIF($B$5:B764,B764)&gt;1,"",B764&amp;"-I"),B764)</f>
        <v/>
      </c>
      <c r="B764" s="29">
        <f t="shared" si="11"/>
        <v>876</v>
      </c>
      <c r="C764" s="36" t="s">
        <v>777</v>
      </c>
      <c r="D764" s="53">
        <v>920</v>
      </c>
      <c r="E764" s="53" t="s">
        <v>833</v>
      </c>
      <c r="F764" s="53" t="s">
        <v>12</v>
      </c>
      <c r="G764" s="54">
        <v>44587</v>
      </c>
      <c r="H764" s="53">
        <v>1043</v>
      </c>
      <c r="I764" s="53">
        <v>876</v>
      </c>
      <c r="J764" s="39" t="s">
        <v>33</v>
      </c>
      <c r="K764" s="39" t="s">
        <v>967</v>
      </c>
      <c r="L764" s="39"/>
      <c r="M764" s="37">
        <v>44938</v>
      </c>
      <c r="N764" s="39">
        <v>6.02</v>
      </c>
      <c r="O764" s="40">
        <v>2079</v>
      </c>
    </row>
    <row r="765" spans="1:15" x14ac:dyDescent="0.55000000000000004">
      <c r="A765" s="24" t="str">
        <f>IF(COUNTIF(B765:$B$5014,B765)&gt;1,IF(COUNTIF($B$5:B765,B765)&gt;1,"",B765&amp;"-I"),B765)</f>
        <v/>
      </c>
      <c r="B765" s="29">
        <f t="shared" si="11"/>
        <v>958</v>
      </c>
      <c r="C765" s="36" t="s">
        <v>778</v>
      </c>
      <c r="D765" s="53">
        <v>921</v>
      </c>
      <c r="E765" s="53" t="s">
        <v>833</v>
      </c>
      <c r="F765" s="53" t="s">
        <v>11</v>
      </c>
      <c r="G765" s="54">
        <v>44594</v>
      </c>
      <c r="H765" s="53">
        <v>1055</v>
      </c>
      <c r="I765" s="53">
        <v>958</v>
      </c>
      <c r="J765" s="39" t="s">
        <v>33</v>
      </c>
      <c r="K765" s="39" t="s">
        <v>967</v>
      </c>
      <c r="L765" s="39"/>
      <c r="M765" s="37">
        <v>44938</v>
      </c>
      <c r="N765" s="39">
        <v>6.02</v>
      </c>
      <c r="O765" s="40">
        <v>2229</v>
      </c>
    </row>
    <row r="766" spans="1:15" x14ac:dyDescent="0.55000000000000004">
      <c r="A766" s="24" t="str">
        <f>IF(COUNTIF(B766:$B$5014,B766)&gt;1,IF(COUNTIF($B$5:B766,B766)&gt;1,"",B766&amp;"-I"),B766)</f>
        <v/>
      </c>
      <c r="B766" s="29">
        <f t="shared" si="11"/>
        <v>980</v>
      </c>
      <c r="C766" s="85" t="s">
        <v>779</v>
      </c>
      <c r="D766" s="53">
        <v>922</v>
      </c>
      <c r="E766" s="53" t="s">
        <v>833</v>
      </c>
      <c r="F766" s="53" t="s">
        <v>11</v>
      </c>
      <c r="G766" s="54">
        <v>44602</v>
      </c>
      <c r="H766" s="53">
        <v>1043</v>
      </c>
      <c r="I766" s="53">
        <v>980</v>
      </c>
      <c r="J766" s="39" t="s">
        <v>33</v>
      </c>
      <c r="K766" s="47" t="s">
        <v>1157</v>
      </c>
      <c r="L766" s="47" t="s">
        <v>934</v>
      </c>
      <c r="M766" s="87">
        <v>44608</v>
      </c>
      <c r="N766" s="39" t="s">
        <v>864</v>
      </c>
      <c r="O766" s="40" t="s">
        <v>864</v>
      </c>
    </row>
    <row r="767" spans="1:15" x14ac:dyDescent="0.55000000000000004">
      <c r="A767" s="24" t="str">
        <f>IF(COUNTIF(B767:$B$5014,B767)&gt;1,IF(COUNTIF($B$5:B767,B767)&gt;1,"",B767&amp;"-I"),B767)</f>
        <v>1044-I</v>
      </c>
      <c r="B767" s="29">
        <f t="shared" si="11"/>
        <v>1044</v>
      </c>
      <c r="C767" s="36" t="s">
        <v>780</v>
      </c>
      <c r="D767" s="53">
        <v>923</v>
      </c>
      <c r="E767" s="53" t="s">
        <v>833</v>
      </c>
      <c r="F767" s="53" t="s">
        <v>11</v>
      </c>
      <c r="G767" s="54">
        <v>44602</v>
      </c>
      <c r="H767" s="72" t="s">
        <v>935</v>
      </c>
      <c r="I767" s="72">
        <v>1044</v>
      </c>
      <c r="J767" s="39" t="s">
        <v>33</v>
      </c>
      <c r="K767" s="39" t="s">
        <v>967</v>
      </c>
      <c r="L767" s="39"/>
      <c r="M767" s="37">
        <v>44938</v>
      </c>
      <c r="N767" s="39">
        <v>6.02</v>
      </c>
      <c r="O767" s="40">
        <v>2229</v>
      </c>
    </row>
    <row r="768" spans="1:15" x14ac:dyDescent="0.55000000000000004">
      <c r="A768" s="24" t="str">
        <f>IF(COUNTIF(B768:$B$5014,B768)&gt;1,IF(COUNTIF($B$5:B768,B768)&gt;1,"",B768&amp;"-I"),B768)</f>
        <v/>
      </c>
      <c r="B768" s="29">
        <f t="shared" si="11"/>
        <v>874</v>
      </c>
      <c r="C768" s="36" t="s">
        <v>781</v>
      </c>
      <c r="D768" s="53">
        <v>924</v>
      </c>
      <c r="E768" s="53" t="s">
        <v>833</v>
      </c>
      <c r="F768" s="53" t="s">
        <v>12</v>
      </c>
      <c r="G768" s="54">
        <v>44604</v>
      </c>
      <c r="H768" s="53">
        <v>1055</v>
      </c>
      <c r="I768" s="53">
        <v>874</v>
      </c>
      <c r="J768" s="39" t="s">
        <v>33</v>
      </c>
      <c r="K768" s="39" t="s">
        <v>967</v>
      </c>
      <c r="L768" s="39"/>
      <c r="M768" s="37">
        <v>44938</v>
      </c>
      <c r="N768" s="39">
        <v>6.02</v>
      </c>
      <c r="O768" s="40">
        <v>2079</v>
      </c>
    </row>
    <row r="769" spans="1:18" x14ac:dyDescent="0.55000000000000004">
      <c r="A769" s="24" t="str">
        <f>IF(COUNTIF(B769:$B$5014,B769)&gt;1,IF(COUNTIF($B$5:B769,B769)&gt;1,"",B769&amp;"-I"),B769)</f>
        <v/>
      </c>
      <c r="B769" s="29">
        <f t="shared" si="11"/>
        <v>860</v>
      </c>
      <c r="C769" s="36" t="s">
        <v>782</v>
      </c>
      <c r="D769" s="53">
        <v>925</v>
      </c>
      <c r="E769" s="53" t="s">
        <v>833</v>
      </c>
      <c r="F769" s="53" t="s">
        <v>11</v>
      </c>
      <c r="G769" s="54">
        <v>44605</v>
      </c>
      <c r="H769" s="53">
        <v>1055</v>
      </c>
      <c r="I769" s="53">
        <v>860</v>
      </c>
      <c r="J769" s="39" t="s">
        <v>33</v>
      </c>
      <c r="K769" s="39" t="s">
        <v>967</v>
      </c>
      <c r="L769" s="39"/>
      <c r="M769" s="37">
        <v>44938</v>
      </c>
      <c r="N769" s="39">
        <v>6.02</v>
      </c>
      <c r="O769" s="40">
        <v>2229</v>
      </c>
    </row>
    <row r="770" spans="1:18" x14ac:dyDescent="0.55000000000000004">
      <c r="A770" s="24">
        <f>IF(COUNTIF(B770:$B$5014,B770)&gt;1,IF(COUNTIF($B$5:B770,B770)&gt;1,"",B770&amp;"-I"),B770)</f>
        <v>870</v>
      </c>
      <c r="B770" s="29">
        <f t="shared" si="11"/>
        <v>870</v>
      </c>
      <c r="C770" s="36" t="s">
        <v>783</v>
      </c>
      <c r="D770" s="53">
        <v>926</v>
      </c>
      <c r="E770" s="53" t="s">
        <v>833</v>
      </c>
      <c r="F770" s="53" t="s">
        <v>11</v>
      </c>
      <c r="G770" s="54">
        <v>44605</v>
      </c>
      <c r="H770" s="53">
        <v>1043</v>
      </c>
      <c r="I770" s="53">
        <v>870</v>
      </c>
      <c r="J770" s="39" t="s">
        <v>33</v>
      </c>
      <c r="K770" s="39" t="s">
        <v>967</v>
      </c>
      <c r="L770" s="39"/>
      <c r="M770" s="37">
        <v>44938</v>
      </c>
      <c r="N770" s="39">
        <v>6.02</v>
      </c>
      <c r="O770" s="40">
        <v>2229</v>
      </c>
    </row>
    <row r="771" spans="1:18" x14ac:dyDescent="0.55000000000000004">
      <c r="A771" s="24" t="str">
        <f>IF(COUNTIF(B771:$B$5014,B771)&gt;1,IF(COUNTIF($B$5:B771,B771)&gt;1,"",B771&amp;"-I"),B771)</f>
        <v>1043-I</v>
      </c>
      <c r="B771" s="29">
        <f t="shared" si="11"/>
        <v>1043</v>
      </c>
      <c r="C771" s="36" t="s">
        <v>784</v>
      </c>
      <c r="D771" s="53">
        <v>927</v>
      </c>
      <c r="E771" s="53" t="s">
        <v>833</v>
      </c>
      <c r="F771" s="53" t="s">
        <v>12</v>
      </c>
      <c r="G771" s="54">
        <v>44612</v>
      </c>
      <c r="H771" s="72" t="s">
        <v>935</v>
      </c>
      <c r="I771" s="72">
        <v>1043</v>
      </c>
      <c r="J771" s="39" t="s">
        <v>33</v>
      </c>
      <c r="K771" s="39" t="s">
        <v>967</v>
      </c>
      <c r="L771" s="39"/>
      <c r="M771" s="37">
        <v>44938</v>
      </c>
      <c r="N771" s="39">
        <v>6.02</v>
      </c>
      <c r="O771" s="40">
        <v>2079</v>
      </c>
    </row>
    <row r="772" spans="1:18" x14ac:dyDescent="0.55000000000000004">
      <c r="A772" s="24">
        <f>IF(COUNTIF(B772:$B$5014,B772)&gt;1,IF(COUNTIF($B$5:B772,B772)&gt;1,"",B772&amp;"-I"),B772)</f>
        <v>869</v>
      </c>
      <c r="B772" s="29">
        <f t="shared" si="11"/>
        <v>869</v>
      </c>
      <c r="C772" s="36" t="s">
        <v>785</v>
      </c>
      <c r="D772" s="53">
        <v>928</v>
      </c>
      <c r="E772" s="53" t="s">
        <v>833</v>
      </c>
      <c r="F772" s="53" t="s">
        <v>12</v>
      </c>
      <c r="G772" s="54">
        <v>44646</v>
      </c>
      <c r="H772" s="53">
        <v>1043</v>
      </c>
      <c r="I772" s="53">
        <v>869</v>
      </c>
      <c r="J772" s="39" t="s">
        <v>33</v>
      </c>
      <c r="K772" s="39" t="s">
        <v>967</v>
      </c>
      <c r="L772" s="39"/>
      <c r="M772" s="37">
        <v>44938</v>
      </c>
      <c r="N772" s="39">
        <v>6.02</v>
      </c>
      <c r="O772" s="40">
        <v>2079</v>
      </c>
    </row>
    <row r="773" spans="1:18" x14ac:dyDescent="0.55000000000000004">
      <c r="A773" s="24" t="str">
        <f>IF(COUNTIF(B773:$B$5014,B773)&gt;1,IF(COUNTIF($B$5:B773,B773)&gt;1,"",B773&amp;"-I"),B773)</f>
        <v>1031-I</v>
      </c>
      <c r="B773" s="29">
        <f t="shared" ref="B773:B833" si="12">+I773</f>
        <v>1031</v>
      </c>
      <c r="C773" s="36" t="s">
        <v>786</v>
      </c>
      <c r="D773" s="53">
        <v>929</v>
      </c>
      <c r="E773" s="53" t="s">
        <v>833</v>
      </c>
      <c r="F773" s="53" t="s">
        <v>11</v>
      </c>
      <c r="G773" s="54">
        <v>44648</v>
      </c>
      <c r="H773" s="79" t="s">
        <v>935</v>
      </c>
      <c r="I773" s="53">
        <v>1031</v>
      </c>
      <c r="J773" s="39" t="s">
        <v>33</v>
      </c>
      <c r="K773" s="39" t="s">
        <v>967</v>
      </c>
      <c r="L773" s="39"/>
      <c r="M773" s="37">
        <v>44938</v>
      </c>
      <c r="N773" s="39">
        <v>6.02</v>
      </c>
      <c r="O773" s="40">
        <v>2229</v>
      </c>
    </row>
    <row r="774" spans="1:18" x14ac:dyDescent="0.55000000000000004">
      <c r="A774" s="24" t="str">
        <f>IF(COUNTIF(B774:$B$5014,B774)&gt;1,IF(COUNTIF($B$5:B774,B774)&gt;1,"",B774&amp;"-I"),B774)</f>
        <v/>
      </c>
      <c r="B774" s="29">
        <f t="shared" si="12"/>
        <v>976</v>
      </c>
      <c r="C774" s="36" t="s">
        <v>787</v>
      </c>
      <c r="D774" s="53">
        <v>930</v>
      </c>
      <c r="E774" s="53" t="s">
        <v>833</v>
      </c>
      <c r="F774" s="53" t="s">
        <v>12</v>
      </c>
      <c r="G774" s="54">
        <v>44657</v>
      </c>
      <c r="H774" s="53">
        <v>1055</v>
      </c>
      <c r="I774" s="53">
        <v>976</v>
      </c>
      <c r="J774" s="39" t="s">
        <v>33</v>
      </c>
      <c r="K774" s="39" t="s">
        <v>967</v>
      </c>
      <c r="L774" s="39"/>
      <c r="M774" s="37">
        <v>44938</v>
      </c>
      <c r="N774" s="39">
        <v>6.02</v>
      </c>
      <c r="O774" s="40">
        <v>2079</v>
      </c>
    </row>
    <row r="775" spans="1:18" x14ac:dyDescent="0.55000000000000004">
      <c r="A775" s="24" t="str">
        <f>IF(COUNTIF(B775:$B$5014,B775)&gt;1,IF(COUNTIF($B$5:B775,B775)&gt;1,"",B775&amp;"-I"),B775)</f>
        <v/>
      </c>
      <c r="B775" s="29">
        <f t="shared" si="12"/>
        <v>956</v>
      </c>
      <c r="C775" s="36" t="s">
        <v>788</v>
      </c>
      <c r="D775" s="53">
        <v>931</v>
      </c>
      <c r="E775" s="53" t="s">
        <v>833</v>
      </c>
      <c r="F775" s="53" t="s">
        <v>12</v>
      </c>
      <c r="G775" s="54">
        <v>44691</v>
      </c>
      <c r="H775" s="53">
        <v>1043</v>
      </c>
      <c r="I775" s="53">
        <v>956</v>
      </c>
      <c r="J775" s="39" t="s">
        <v>33</v>
      </c>
      <c r="K775" s="39" t="s">
        <v>967</v>
      </c>
      <c r="L775" s="39"/>
      <c r="M775" s="37">
        <v>44938</v>
      </c>
      <c r="N775" s="39">
        <v>6.02</v>
      </c>
      <c r="O775" s="40">
        <v>2079</v>
      </c>
    </row>
    <row r="776" spans="1:18" x14ac:dyDescent="0.55000000000000004">
      <c r="A776" s="24" t="str">
        <f>IF(COUNTIF(B776:$B$5014,B776)&gt;1,IF(COUNTIF($B$5:B776,B776)&gt;1,"",B776&amp;"-I"),B776)</f>
        <v/>
      </c>
      <c r="B776" s="29">
        <f t="shared" si="12"/>
        <v>974</v>
      </c>
      <c r="C776" s="36" t="s">
        <v>789</v>
      </c>
      <c r="D776" s="53">
        <v>932</v>
      </c>
      <c r="E776" s="53" t="s">
        <v>834</v>
      </c>
      <c r="F776" s="53" t="s">
        <v>12</v>
      </c>
      <c r="G776" s="54">
        <v>44694</v>
      </c>
      <c r="H776" s="53">
        <v>1043</v>
      </c>
      <c r="I776" s="53">
        <v>974</v>
      </c>
      <c r="J776" s="39" t="s">
        <v>33</v>
      </c>
      <c r="K776" s="39" t="s">
        <v>967</v>
      </c>
      <c r="L776" s="39"/>
      <c r="M776" s="37">
        <v>44938</v>
      </c>
      <c r="N776" s="39">
        <v>6.02</v>
      </c>
      <c r="O776" s="40">
        <v>2079</v>
      </c>
    </row>
    <row r="777" spans="1:18" x14ac:dyDescent="0.55000000000000004">
      <c r="A777" s="24">
        <f>IF(COUNTIF(B777:$B$5014,B777)&gt;1,IF(COUNTIF($B$5:B777,B777)&gt;1,"",B777&amp;"-I"),B777)</f>
        <v>983</v>
      </c>
      <c r="B777" s="29">
        <f t="shared" si="12"/>
        <v>983</v>
      </c>
      <c r="C777" s="85" t="s">
        <v>790</v>
      </c>
      <c r="D777" s="53">
        <v>933</v>
      </c>
      <c r="E777" s="53" t="s">
        <v>834</v>
      </c>
      <c r="F777" s="53" t="s">
        <v>12</v>
      </c>
      <c r="G777" s="54">
        <v>44695</v>
      </c>
      <c r="H777" s="53">
        <v>1055</v>
      </c>
      <c r="I777" s="53">
        <v>983</v>
      </c>
      <c r="J777" s="39" t="s">
        <v>33</v>
      </c>
      <c r="K777" s="47" t="s">
        <v>1157</v>
      </c>
      <c r="L777" s="47" t="s">
        <v>937</v>
      </c>
      <c r="M777" s="37"/>
      <c r="N777" s="39"/>
      <c r="O777" s="40"/>
      <c r="P777" s="100" t="s">
        <v>913</v>
      </c>
    </row>
    <row r="778" spans="1:18" x14ac:dyDescent="0.55000000000000004">
      <c r="A778" s="24" t="str">
        <f>IF(COUNTIF(B778:$B$5014,B778)&gt;1,IF(COUNTIF($B$5:B778,B778)&gt;1,"",B778&amp;"-I"),B778)</f>
        <v/>
      </c>
      <c r="B778" s="29">
        <f t="shared" si="12"/>
        <v>981</v>
      </c>
      <c r="C778" s="36" t="s">
        <v>791</v>
      </c>
      <c r="D778" s="53">
        <v>934</v>
      </c>
      <c r="E778" s="53" t="s">
        <v>833</v>
      </c>
      <c r="F778" s="53" t="s">
        <v>11</v>
      </c>
      <c r="G778" s="54">
        <v>44698</v>
      </c>
      <c r="H778" s="53">
        <v>1055</v>
      </c>
      <c r="I778" s="53">
        <v>981</v>
      </c>
      <c r="J778" s="39" t="s">
        <v>33</v>
      </c>
      <c r="K778" s="39" t="s">
        <v>967</v>
      </c>
      <c r="L778" s="39"/>
      <c r="M778" s="37">
        <v>44938</v>
      </c>
      <c r="N778" s="39">
        <v>6.02</v>
      </c>
      <c r="O778" s="40">
        <v>2229</v>
      </c>
      <c r="P778" s="24" t="s">
        <v>914</v>
      </c>
      <c r="R778" s="113"/>
    </row>
    <row r="779" spans="1:18" x14ac:dyDescent="0.55000000000000004">
      <c r="A779" s="24" t="str">
        <f>IF(COUNTIF(B779:$B$5014,B779)&gt;1,IF(COUNTIF($B$5:B779,B779)&gt;1,"",B779&amp;"-I"),B779)</f>
        <v/>
      </c>
      <c r="B779" s="29">
        <f t="shared" si="12"/>
        <v>947</v>
      </c>
      <c r="C779" s="36" t="s">
        <v>792</v>
      </c>
      <c r="D779" s="53">
        <v>935</v>
      </c>
      <c r="E779" s="53" t="s">
        <v>833</v>
      </c>
      <c r="F779" s="53" t="s">
        <v>12</v>
      </c>
      <c r="G779" s="54">
        <v>44747</v>
      </c>
      <c r="H779" s="53">
        <v>1043</v>
      </c>
      <c r="I779" s="53">
        <v>947</v>
      </c>
      <c r="J779" s="39" t="s">
        <v>33</v>
      </c>
      <c r="K779" s="47" t="s">
        <v>1174</v>
      </c>
      <c r="L779" s="47" t="s">
        <v>1098</v>
      </c>
      <c r="M779" s="37">
        <v>45413</v>
      </c>
      <c r="N779" s="39"/>
      <c r="O779" s="40"/>
      <c r="P779" s="66"/>
      <c r="R779" s="58">
        <f>(+Q779*15-15)/((P779-G779)/30)</f>
        <v>1.0056540103247146E-2</v>
      </c>
    </row>
    <row r="780" spans="1:18" x14ac:dyDescent="0.55000000000000004">
      <c r="A780" s="24" t="str">
        <f>IF(COUNTIF(B780:$B$5014,B780)&gt;1,IF(COUNTIF($B$5:B780,B780)&gt;1,"",B780&amp;"-I"),B780)</f>
        <v/>
      </c>
      <c r="B780" s="29">
        <f t="shared" si="12"/>
        <v>863</v>
      </c>
      <c r="C780" s="36" t="s">
        <v>793</v>
      </c>
      <c r="D780" s="53">
        <v>936</v>
      </c>
      <c r="E780" s="53" t="s">
        <v>833</v>
      </c>
      <c r="F780" s="53" t="s">
        <v>12</v>
      </c>
      <c r="G780" s="54">
        <v>44771</v>
      </c>
      <c r="H780" s="53">
        <v>1055</v>
      </c>
      <c r="I780" s="53">
        <v>863</v>
      </c>
      <c r="J780" s="39" t="s">
        <v>33</v>
      </c>
      <c r="K780" s="47" t="s">
        <v>1174</v>
      </c>
      <c r="L780" s="47" t="s">
        <v>1098</v>
      </c>
      <c r="M780" s="37">
        <v>45413</v>
      </c>
      <c r="N780" s="39"/>
      <c r="O780" s="40"/>
      <c r="P780" s="66"/>
      <c r="R780" s="58">
        <f t="shared" ref="R780:R783" si="13">(+Q780*15-15)/((P780-G780)/30)</f>
        <v>1.0051149181389739E-2</v>
      </c>
    </row>
    <row r="781" spans="1:18" x14ac:dyDescent="0.55000000000000004">
      <c r="A781" s="24" t="str">
        <f>IF(COUNTIF(B781:$B$5014,B781)&gt;1,IF(COUNTIF($B$5:B781,B781)&gt;1,"",B781&amp;"-I"),B781)</f>
        <v/>
      </c>
      <c r="B781" s="29">
        <f t="shared" si="12"/>
        <v>881</v>
      </c>
      <c r="C781" s="36" t="s">
        <v>794</v>
      </c>
      <c r="D781" s="53">
        <v>937</v>
      </c>
      <c r="E781" s="53" t="s">
        <v>833</v>
      </c>
      <c r="F781" s="53" t="s">
        <v>12</v>
      </c>
      <c r="G781" s="54">
        <v>44773</v>
      </c>
      <c r="H781" s="53">
        <v>1055</v>
      </c>
      <c r="I781" s="53">
        <v>881</v>
      </c>
      <c r="J781" s="39" t="s">
        <v>33</v>
      </c>
      <c r="K781" s="47" t="s">
        <v>1174</v>
      </c>
      <c r="L781" s="47" t="s">
        <v>1098</v>
      </c>
      <c r="M781" s="37">
        <v>45413</v>
      </c>
      <c r="N781" s="39"/>
      <c r="O781" s="40"/>
      <c r="P781" s="66"/>
      <c r="R781" s="58">
        <f t="shared" si="13"/>
        <v>1.0050700198780514E-2</v>
      </c>
    </row>
    <row r="782" spans="1:18" x14ac:dyDescent="0.55000000000000004">
      <c r="A782" s="24" t="str">
        <f>IF(COUNTIF(B782:$B$5014,B782)&gt;1,IF(COUNTIF($B$5:B782,B782)&gt;1,"",B782&amp;"-I"),B782)</f>
        <v/>
      </c>
      <c r="B782" s="29">
        <f t="shared" si="12"/>
        <v>1010</v>
      </c>
      <c r="C782" s="36" t="s">
        <v>795</v>
      </c>
      <c r="D782" s="53">
        <v>938</v>
      </c>
      <c r="E782" s="53" t="s">
        <v>833</v>
      </c>
      <c r="F782" s="53" t="s">
        <v>12</v>
      </c>
      <c r="G782" s="54">
        <v>44783</v>
      </c>
      <c r="H782" s="53">
        <v>1043</v>
      </c>
      <c r="I782" s="53">
        <v>1010</v>
      </c>
      <c r="J782" s="39" t="s">
        <v>33</v>
      </c>
      <c r="K782" s="47" t="s">
        <v>1174</v>
      </c>
      <c r="L782" s="47" t="s">
        <v>1098</v>
      </c>
      <c r="M782" s="37">
        <v>45413</v>
      </c>
      <c r="N782" s="39"/>
      <c r="O782" s="40"/>
      <c r="P782" s="66"/>
      <c r="R782" s="58">
        <f t="shared" si="13"/>
        <v>1.0048455887278655E-2</v>
      </c>
    </row>
    <row r="783" spans="1:18" x14ac:dyDescent="0.55000000000000004">
      <c r="A783" s="24" t="str">
        <f>IF(COUNTIF(B783:$B$5014,B783)&gt;1,IF(COUNTIF($B$5:B783,B783)&gt;1,"",B783&amp;"-I"),B783)</f>
        <v>1030-I</v>
      </c>
      <c r="B783" s="29">
        <f t="shared" si="12"/>
        <v>1030</v>
      </c>
      <c r="C783" s="36" t="s">
        <v>796</v>
      </c>
      <c r="D783" s="53">
        <v>939</v>
      </c>
      <c r="E783" s="53" t="s">
        <v>833</v>
      </c>
      <c r="F783" s="53" t="s">
        <v>12</v>
      </c>
      <c r="G783" s="54">
        <v>44790</v>
      </c>
      <c r="H783" s="53">
        <v>1043</v>
      </c>
      <c r="I783" s="53">
        <v>1030</v>
      </c>
      <c r="J783" s="39" t="s">
        <v>33</v>
      </c>
      <c r="K783" s="47" t="s">
        <v>1174</v>
      </c>
      <c r="L783" s="47" t="s">
        <v>1098</v>
      </c>
      <c r="M783" s="37">
        <v>45413</v>
      </c>
      <c r="N783" s="39"/>
      <c r="O783" s="40"/>
      <c r="P783" s="66"/>
      <c r="R783" s="58">
        <f t="shared" si="13"/>
        <v>1.0046885465505693E-2</v>
      </c>
    </row>
    <row r="784" spans="1:18" x14ac:dyDescent="0.55000000000000004">
      <c r="A784" s="24" t="str">
        <f>IF(COUNTIF(B784:$B$5014,B784)&gt;1,IF(COUNTIF($B$5:B784,B784)&gt;1,"",B784&amp;"-I"),B784)</f>
        <v/>
      </c>
      <c r="B784" s="29">
        <f t="shared" si="12"/>
        <v>859</v>
      </c>
      <c r="C784" s="36" t="s">
        <v>797</v>
      </c>
      <c r="D784" s="164">
        <v>940</v>
      </c>
      <c r="E784" s="53" t="s">
        <v>833</v>
      </c>
      <c r="F784" s="53" t="s">
        <v>11</v>
      </c>
      <c r="G784" s="54">
        <v>44792</v>
      </c>
      <c r="H784" s="53">
        <v>1043</v>
      </c>
      <c r="I784" s="53">
        <v>859</v>
      </c>
      <c r="J784" s="39" t="s">
        <v>33</v>
      </c>
      <c r="K784" s="47" t="s">
        <v>1157</v>
      </c>
      <c r="L784" s="47" t="s">
        <v>1081</v>
      </c>
      <c r="M784" s="162">
        <v>45084</v>
      </c>
      <c r="N784" s="161" t="s">
        <v>1082</v>
      </c>
      <c r="O784" s="40"/>
    </row>
    <row r="785" spans="1:16" x14ac:dyDescent="0.55000000000000004">
      <c r="A785" s="24" t="str">
        <f>IF(COUNTIF(B785:$B$5014,B785)&gt;1,IF(COUNTIF($B$5:B785,B785)&gt;1,"",B785&amp;"-I"),B785)</f>
        <v>1029-I</v>
      </c>
      <c r="B785" s="29">
        <f t="shared" si="12"/>
        <v>1029</v>
      </c>
      <c r="C785" s="36" t="s">
        <v>798</v>
      </c>
      <c r="D785" s="53">
        <v>941</v>
      </c>
      <c r="E785" s="53" t="s">
        <v>833</v>
      </c>
      <c r="F785" s="53" t="s">
        <v>12</v>
      </c>
      <c r="G785" s="54">
        <v>44803</v>
      </c>
      <c r="H785" s="53">
        <v>1043</v>
      </c>
      <c r="I785" s="53">
        <v>1029</v>
      </c>
      <c r="J785" s="39" t="s">
        <v>33</v>
      </c>
      <c r="K785" s="47" t="s">
        <v>1175</v>
      </c>
      <c r="L785" s="39" t="s">
        <v>1098</v>
      </c>
      <c r="M785" s="37">
        <v>45413</v>
      </c>
      <c r="N785" s="39"/>
      <c r="O785" s="40"/>
    </row>
    <row r="786" spans="1:16" x14ac:dyDescent="0.55000000000000004">
      <c r="A786" s="24" t="str">
        <f>IF(COUNTIF(B786:$B$5014,B786)&gt;1,IF(COUNTIF($B$5:B786,B786)&gt;1,"",B786&amp;"-I"),B786)</f>
        <v>1025-I</v>
      </c>
      <c r="B786" s="29">
        <f t="shared" si="12"/>
        <v>1025</v>
      </c>
      <c r="C786" s="36" t="s">
        <v>799</v>
      </c>
      <c r="D786" s="53">
        <v>942</v>
      </c>
      <c r="E786" s="53" t="s">
        <v>833</v>
      </c>
      <c r="F786" s="53" t="s">
        <v>11</v>
      </c>
      <c r="G786" s="54">
        <v>44809</v>
      </c>
      <c r="H786" s="53">
        <v>1043</v>
      </c>
      <c r="I786" s="53">
        <v>1025</v>
      </c>
      <c r="J786" s="39" t="s">
        <v>33</v>
      </c>
      <c r="K786" s="39" t="s">
        <v>1087</v>
      </c>
      <c r="L786" s="39" t="s">
        <v>1098</v>
      </c>
      <c r="M786" s="37">
        <v>45224</v>
      </c>
      <c r="N786" s="39">
        <v>6.3</v>
      </c>
      <c r="O786" s="40">
        <v>1650</v>
      </c>
    </row>
    <row r="787" spans="1:16" x14ac:dyDescent="0.55000000000000004">
      <c r="A787" s="24" t="str">
        <f>IF(COUNTIF(B787:$B$5014,B787)&gt;1,IF(COUNTIF($B$5:B787,B787)&gt;1,"",B787&amp;"-I"),B787)</f>
        <v>1027-I</v>
      </c>
      <c r="B787" s="29">
        <f t="shared" si="12"/>
        <v>1027</v>
      </c>
      <c r="C787" s="36" t="s">
        <v>800</v>
      </c>
      <c r="D787" s="53">
        <v>943</v>
      </c>
      <c r="E787" s="53" t="s">
        <v>833</v>
      </c>
      <c r="F787" s="53" t="s">
        <v>12</v>
      </c>
      <c r="G787" s="54">
        <v>44810</v>
      </c>
      <c r="H787" s="53">
        <v>1043</v>
      </c>
      <c r="I787" s="53">
        <v>1027</v>
      </c>
      <c r="J787" s="39" t="s">
        <v>33</v>
      </c>
      <c r="K787" s="47" t="s">
        <v>1174</v>
      </c>
      <c r="L787" s="39" t="s">
        <v>1098</v>
      </c>
      <c r="M787" s="37">
        <v>45413</v>
      </c>
      <c r="N787" s="39"/>
      <c r="O787" s="40"/>
    </row>
    <row r="788" spans="1:16" x14ac:dyDescent="0.55000000000000004">
      <c r="A788" s="24">
        <f>IF(COUNTIF(B788:$B$5014,B788)&gt;1,IF(COUNTIF($B$5:B788,B788)&gt;1,"",B788&amp;"-I"),B788)</f>
        <v>1021</v>
      </c>
      <c r="B788" s="29">
        <f t="shared" si="12"/>
        <v>1021</v>
      </c>
      <c r="C788" s="36" t="s">
        <v>801</v>
      </c>
      <c r="D788" s="53">
        <v>944</v>
      </c>
      <c r="E788" s="53" t="s">
        <v>833</v>
      </c>
      <c r="F788" s="53" t="s">
        <v>12</v>
      </c>
      <c r="G788" s="54">
        <v>44820</v>
      </c>
      <c r="H788" s="53">
        <v>1043</v>
      </c>
      <c r="I788" s="53">
        <v>1021</v>
      </c>
      <c r="J788" s="39" t="s">
        <v>33</v>
      </c>
      <c r="K788" s="47" t="s">
        <v>1174</v>
      </c>
      <c r="L788" s="39" t="s">
        <v>1098</v>
      </c>
      <c r="M788" s="37">
        <v>45413</v>
      </c>
      <c r="N788" s="39"/>
      <c r="O788" s="40"/>
    </row>
    <row r="789" spans="1:16" x14ac:dyDescent="0.55000000000000004">
      <c r="A789" s="24">
        <f>IF(COUNTIF(B789:$B$5014,B789)&gt;1,IF(COUNTIF($B$5:B789,B789)&gt;1,"",B789&amp;"-I"),B789)</f>
        <v>880</v>
      </c>
      <c r="B789" s="29">
        <f t="shared" si="12"/>
        <v>880</v>
      </c>
      <c r="C789" s="36" t="s">
        <v>802</v>
      </c>
      <c r="D789" s="53">
        <v>945</v>
      </c>
      <c r="E789" s="53" t="s">
        <v>833</v>
      </c>
      <c r="F789" s="53" t="s">
        <v>11</v>
      </c>
      <c r="G789" s="54">
        <v>44821</v>
      </c>
      <c r="H789" s="53">
        <v>1055</v>
      </c>
      <c r="I789" s="53">
        <v>880</v>
      </c>
      <c r="J789" s="39" t="s">
        <v>33</v>
      </c>
      <c r="K789" s="39" t="s">
        <v>1087</v>
      </c>
      <c r="L789" s="39"/>
      <c r="M789" s="37">
        <v>45224</v>
      </c>
      <c r="N789" s="39">
        <v>6.3</v>
      </c>
      <c r="O789" s="40">
        <v>1650</v>
      </c>
    </row>
    <row r="790" spans="1:16" x14ac:dyDescent="0.55000000000000004">
      <c r="A790" s="24" t="str">
        <f>IF(COUNTIF(B790:$B$5014,B790)&gt;1,IF(COUNTIF($B$5:B790,B790)&gt;1,"",B790&amp;"-I"),B790)</f>
        <v/>
      </c>
      <c r="B790" s="29">
        <f t="shared" si="12"/>
        <v>978</v>
      </c>
      <c r="C790" s="36" t="s">
        <v>803</v>
      </c>
      <c r="D790" s="53">
        <v>946</v>
      </c>
      <c r="E790" s="53" t="s">
        <v>833</v>
      </c>
      <c r="F790" s="53" t="s">
        <v>12</v>
      </c>
      <c r="G790" s="54">
        <v>44823</v>
      </c>
      <c r="H790" s="53">
        <v>1055</v>
      </c>
      <c r="I790" s="53">
        <v>978</v>
      </c>
      <c r="J790" s="39" t="s">
        <v>33</v>
      </c>
      <c r="K790" s="39" t="s">
        <v>1165</v>
      </c>
      <c r="L790" s="39" t="s">
        <v>1098</v>
      </c>
      <c r="M790" s="37">
        <v>45413</v>
      </c>
      <c r="N790" s="39"/>
      <c r="O790" s="40"/>
    </row>
    <row r="791" spans="1:16" x14ac:dyDescent="0.55000000000000004">
      <c r="A791" s="24" t="str">
        <f>IF(COUNTIF(B791:$B$5014,B791)&gt;1,IF(COUNTIF($B$5:B791,B791)&gt;1,"",B791&amp;"-I"),B791)</f>
        <v>1028-I</v>
      </c>
      <c r="B791" s="29">
        <f t="shared" si="12"/>
        <v>1028</v>
      </c>
      <c r="C791" s="36" t="s">
        <v>804</v>
      </c>
      <c r="D791" s="53">
        <v>947</v>
      </c>
      <c r="E791" s="53" t="s">
        <v>833</v>
      </c>
      <c r="F791" s="53" t="s">
        <v>11</v>
      </c>
      <c r="G791" s="54">
        <v>44830</v>
      </c>
      <c r="H791" s="53">
        <v>1043</v>
      </c>
      <c r="I791" s="53">
        <v>1028</v>
      </c>
      <c r="J791" s="39" t="s">
        <v>33</v>
      </c>
      <c r="K791" s="39" t="s">
        <v>1087</v>
      </c>
      <c r="L791" s="39"/>
      <c r="M791" s="37">
        <v>45224</v>
      </c>
      <c r="N791" s="39">
        <v>6.3</v>
      </c>
      <c r="O791" s="40">
        <v>1650</v>
      </c>
    </row>
    <row r="792" spans="1:16" x14ac:dyDescent="0.55000000000000004">
      <c r="A792" s="24" t="str">
        <f>IF(COUNTIF(B792:$B$5014,B792)&gt;1,IF(COUNTIF($B$5:B792,B792)&gt;1,"",B792&amp;"-I"),B792)</f>
        <v/>
      </c>
      <c r="B792" s="29">
        <f t="shared" si="12"/>
        <v>984</v>
      </c>
      <c r="C792" s="36" t="s">
        <v>805</v>
      </c>
      <c r="D792" s="53">
        <v>948</v>
      </c>
      <c r="E792" s="53" t="s">
        <v>833</v>
      </c>
      <c r="F792" s="53" t="s">
        <v>11</v>
      </c>
      <c r="G792" s="54">
        <v>44834</v>
      </c>
      <c r="H792" s="53">
        <v>1055</v>
      </c>
      <c r="I792" s="53">
        <v>984</v>
      </c>
      <c r="J792" s="39" t="s">
        <v>33</v>
      </c>
      <c r="K792" s="39" t="s">
        <v>1087</v>
      </c>
      <c r="L792" s="39"/>
      <c r="M792" s="37">
        <v>45224</v>
      </c>
      <c r="N792" s="39">
        <v>6.3</v>
      </c>
      <c r="O792" s="40">
        <v>1650</v>
      </c>
      <c r="P792" s="24" t="s">
        <v>914</v>
      </c>
    </row>
    <row r="793" spans="1:16" x14ac:dyDescent="0.55000000000000004">
      <c r="A793" s="24" t="str">
        <f>IF(COUNTIF(B793:$B$5014,B793)&gt;1,IF(COUNTIF($B$5:B793,B793)&gt;1,"",B793&amp;"-I"),B793)</f>
        <v>1026-I</v>
      </c>
      <c r="B793" s="29">
        <f t="shared" si="12"/>
        <v>1026</v>
      </c>
      <c r="C793" s="36" t="s">
        <v>806</v>
      </c>
      <c r="D793" s="53">
        <v>949</v>
      </c>
      <c r="E793" s="53" t="s">
        <v>833</v>
      </c>
      <c r="F793" s="53" t="s">
        <v>12</v>
      </c>
      <c r="G793" s="54">
        <v>44837</v>
      </c>
      <c r="H793" s="53">
        <v>1043</v>
      </c>
      <c r="I793" s="53">
        <v>1026</v>
      </c>
      <c r="J793" s="39" t="s">
        <v>33</v>
      </c>
      <c r="K793" s="39" t="s">
        <v>1174</v>
      </c>
      <c r="L793" s="39" t="s">
        <v>1098</v>
      </c>
      <c r="M793" s="37">
        <v>45413</v>
      </c>
      <c r="N793" s="39"/>
      <c r="O793" s="40"/>
    </row>
    <row r="794" spans="1:16" x14ac:dyDescent="0.55000000000000004">
      <c r="A794" s="24" t="str">
        <f>IF(COUNTIF(B794:$B$5014,B794)&gt;1,IF(COUNTIF($B$5:B794,B794)&gt;1,"",B794&amp;"-I"),B794)</f>
        <v/>
      </c>
      <c r="B794" s="29">
        <f t="shared" si="12"/>
        <v>993</v>
      </c>
      <c r="C794" s="36" t="s">
        <v>807</v>
      </c>
      <c r="D794" s="164">
        <v>950</v>
      </c>
      <c r="E794" s="53" t="s">
        <v>833</v>
      </c>
      <c r="F794" s="53" t="s">
        <v>12</v>
      </c>
      <c r="G794" s="54">
        <v>44840</v>
      </c>
      <c r="H794" s="53">
        <v>1043</v>
      </c>
      <c r="I794" s="53">
        <v>993</v>
      </c>
      <c r="J794" s="39" t="s">
        <v>33</v>
      </c>
      <c r="K794" s="47" t="s">
        <v>1157</v>
      </c>
      <c r="L794" s="39" t="s">
        <v>1077</v>
      </c>
      <c r="M794" s="161" t="s">
        <v>1078</v>
      </c>
      <c r="N794" s="39"/>
      <c r="O794" s="40"/>
    </row>
    <row r="795" spans="1:16" x14ac:dyDescent="0.55000000000000004">
      <c r="A795" s="24" t="str">
        <f>IF(COUNTIF(B795:$B$5014,B795)&gt;1,IF(COUNTIF($B$5:B795,B795)&gt;1,"",B795&amp;"-I"),B795)</f>
        <v/>
      </c>
      <c r="B795" s="29">
        <f t="shared" si="12"/>
        <v>886</v>
      </c>
      <c r="C795" s="36" t="s">
        <v>808</v>
      </c>
      <c r="D795" s="53">
        <v>951</v>
      </c>
      <c r="E795" s="53" t="s">
        <v>833</v>
      </c>
      <c r="F795" s="53" t="s">
        <v>11</v>
      </c>
      <c r="G795" s="54">
        <v>44840</v>
      </c>
      <c r="H795" s="53">
        <v>1055</v>
      </c>
      <c r="I795" s="53">
        <v>886</v>
      </c>
      <c r="J795" s="39" t="s">
        <v>33</v>
      </c>
      <c r="K795" s="39" t="s">
        <v>1087</v>
      </c>
      <c r="L795" s="39"/>
      <c r="M795" s="37">
        <v>45224</v>
      </c>
      <c r="N795" s="39">
        <v>6.3</v>
      </c>
      <c r="O795" s="40">
        <v>1650</v>
      </c>
    </row>
    <row r="796" spans="1:16" x14ac:dyDescent="0.55000000000000004">
      <c r="A796" s="24" t="str">
        <f>IF(COUNTIF(B796:$B$5014,B796)&gt;1,IF(COUNTIF($B$5:B796,B796)&gt;1,"",B796&amp;"-I"),B796)</f>
        <v>1039-I</v>
      </c>
      <c r="B796" s="29">
        <f t="shared" si="12"/>
        <v>1039</v>
      </c>
      <c r="C796" s="36" t="s">
        <v>809</v>
      </c>
      <c r="D796" s="53">
        <v>952</v>
      </c>
      <c r="E796" s="53" t="s">
        <v>834</v>
      </c>
      <c r="F796" s="53" t="s">
        <v>12</v>
      </c>
      <c r="G796" s="54">
        <v>44841</v>
      </c>
      <c r="H796" s="53">
        <v>1055</v>
      </c>
      <c r="I796" s="53">
        <v>1039</v>
      </c>
      <c r="J796" s="39" t="s">
        <v>33</v>
      </c>
      <c r="K796" s="39" t="s">
        <v>1174</v>
      </c>
      <c r="L796" s="39" t="s">
        <v>1098</v>
      </c>
      <c r="M796" s="37">
        <v>45413</v>
      </c>
      <c r="N796" s="39"/>
      <c r="O796" s="40"/>
    </row>
    <row r="797" spans="1:16" x14ac:dyDescent="0.55000000000000004">
      <c r="A797" s="24" t="str">
        <f>IF(COUNTIF(B797:$B$5014,B797)&gt;1,IF(COUNTIF($B$5:B797,B797)&gt;1,"",B797&amp;"-I"),B797)</f>
        <v/>
      </c>
      <c r="B797" s="29">
        <f t="shared" si="12"/>
        <v>959</v>
      </c>
      <c r="C797" s="165" t="s">
        <v>810</v>
      </c>
      <c r="D797" s="53">
        <v>953</v>
      </c>
      <c r="E797" s="53" t="s">
        <v>943</v>
      </c>
      <c r="F797" s="53" t="s">
        <v>11</v>
      </c>
      <c r="G797" s="54">
        <v>44841</v>
      </c>
      <c r="H797" s="53">
        <v>1043</v>
      </c>
      <c r="I797" s="53">
        <v>959</v>
      </c>
      <c r="J797" s="39" t="s">
        <v>33</v>
      </c>
      <c r="K797" s="39" t="s">
        <v>1087</v>
      </c>
      <c r="L797" s="39"/>
      <c r="M797" s="37">
        <v>45224</v>
      </c>
      <c r="N797" s="39">
        <v>6.3</v>
      </c>
      <c r="O797" s="40">
        <v>1650</v>
      </c>
    </row>
    <row r="798" spans="1:16" x14ac:dyDescent="0.55000000000000004">
      <c r="A798" s="24" t="str">
        <f>IF(COUNTIF(B798:$B$5014,B798)&gt;1,IF(COUNTIF($B$5:B798,B798)&gt;1,"",B798&amp;"-I"),B798)</f>
        <v/>
      </c>
      <c r="B798" s="29">
        <f t="shared" si="12"/>
        <v>964</v>
      </c>
      <c r="C798" s="36" t="s">
        <v>811</v>
      </c>
      <c r="D798" s="53">
        <v>954</v>
      </c>
      <c r="E798" s="53" t="s">
        <v>833</v>
      </c>
      <c r="F798" s="53" t="s">
        <v>11</v>
      </c>
      <c r="G798" s="54">
        <v>44844</v>
      </c>
      <c r="H798" s="53">
        <v>1043</v>
      </c>
      <c r="I798" s="53">
        <v>964</v>
      </c>
      <c r="J798" s="39" t="s">
        <v>33</v>
      </c>
      <c r="K798" s="39" t="s">
        <v>1087</v>
      </c>
      <c r="L798" s="39"/>
      <c r="M798" s="37">
        <v>45224</v>
      </c>
      <c r="N798" s="39">
        <v>6.3</v>
      </c>
      <c r="O798" s="40">
        <v>1650</v>
      </c>
    </row>
    <row r="799" spans="1:16" x14ac:dyDescent="0.55000000000000004">
      <c r="A799" s="24" t="str">
        <f>IF(COUNTIF(B799:$B$5014,B799)&gt;1,IF(COUNTIF($B$5:B799,B799)&gt;1,"",B799&amp;"-I"),B799)</f>
        <v>1037-I</v>
      </c>
      <c r="B799" s="29">
        <f t="shared" si="12"/>
        <v>1037</v>
      </c>
      <c r="C799" s="36" t="s">
        <v>812</v>
      </c>
      <c r="D799" s="53">
        <v>955</v>
      </c>
      <c r="E799" s="53" t="s">
        <v>834</v>
      </c>
      <c r="F799" s="53" t="s">
        <v>11</v>
      </c>
      <c r="G799" s="54">
        <v>44845</v>
      </c>
      <c r="H799" s="53">
        <v>1055</v>
      </c>
      <c r="I799" s="53">
        <v>1037</v>
      </c>
      <c r="J799" s="39" t="s">
        <v>33</v>
      </c>
      <c r="K799" s="39" t="s">
        <v>1087</v>
      </c>
      <c r="L799" s="39"/>
      <c r="M799" s="37">
        <v>45224</v>
      </c>
      <c r="N799" s="39">
        <v>6.3</v>
      </c>
      <c r="O799" s="40">
        <v>1650</v>
      </c>
    </row>
    <row r="800" spans="1:16" x14ac:dyDescent="0.55000000000000004">
      <c r="A800" s="24" t="str">
        <f>IF(COUNTIF(B800:$B$5014,B800)&gt;1,IF(COUNTIF($B$5:B800,B800)&gt;1,"",B800&amp;"-I"),B800)</f>
        <v>1022-I</v>
      </c>
      <c r="B800" s="29">
        <f t="shared" si="12"/>
        <v>1022</v>
      </c>
      <c r="C800" s="36" t="s">
        <v>813</v>
      </c>
      <c r="D800" s="53">
        <v>956</v>
      </c>
      <c r="E800" s="53" t="s">
        <v>833</v>
      </c>
      <c r="F800" s="53" t="s">
        <v>12</v>
      </c>
      <c r="G800" s="54">
        <v>44849</v>
      </c>
      <c r="H800" s="53">
        <v>1043</v>
      </c>
      <c r="I800" s="53">
        <v>1022</v>
      </c>
      <c r="J800" s="39" t="s">
        <v>33</v>
      </c>
      <c r="K800" s="39" t="s">
        <v>1174</v>
      </c>
      <c r="L800" s="39" t="s">
        <v>1098</v>
      </c>
      <c r="M800" s="37">
        <v>45413</v>
      </c>
      <c r="N800" s="39"/>
      <c r="O800" s="40"/>
    </row>
    <row r="801" spans="1:16" x14ac:dyDescent="0.55000000000000004">
      <c r="A801" s="24" t="str">
        <f>IF(COUNTIF(B801:$B$5014,B801)&gt;1,IF(COUNTIF($B$5:B801,B801)&gt;1,"",B801&amp;"-I"),B801)</f>
        <v/>
      </c>
      <c r="B801" s="29">
        <f t="shared" si="12"/>
        <v>930</v>
      </c>
      <c r="C801" s="36" t="s">
        <v>814</v>
      </c>
      <c r="D801" s="53">
        <v>957</v>
      </c>
      <c r="E801" s="53" t="s">
        <v>833</v>
      </c>
      <c r="F801" s="53" t="s">
        <v>11</v>
      </c>
      <c r="G801" s="54">
        <v>44849</v>
      </c>
      <c r="H801" s="53">
        <v>1055</v>
      </c>
      <c r="I801" s="53">
        <v>930</v>
      </c>
      <c r="J801" s="39" t="s">
        <v>33</v>
      </c>
      <c r="K801" s="39" t="s">
        <v>1087</v>
      </c>
      <c r="L801" s="39"/>
      <c r="M801" s="37">
        <v>45224</v>
      </c>
      <c r="N801" s="39">
        <v>6.3</v>
      </c>
      <c r="O801" s="40">
        <v>1650</v>
      </c>
    </row>
    <row r="802" spans="1:16" x14ac:dyDescent="0.55000000000000004">
      <c r="A802" s="24" t="str">
        <f>IF(COUNTIF(B802:$B$5014,B802)&gt;1,IF(COUNTIF($B$5:B802,B802)&gt;1,"",B802&amp;"-I"),B802)</f>
        <v/>
      </c>
      <c r="B802" s="29">
        <f t="shared" si="12"/>
        <v>1011</v>
      </c>
      <c r="C802" s="36" t="s">
        <v>815</v>
      </c>
      <c r="D802" s="53">
        <v>958</v>
      </c>
      <c r="E802" s="53" t="s">
        <v>833</v>
      </c>
      <c r="F802" s="53" t="s">
        <v>12</v>
      </c>
      <c r="G802" s="54">
        <v>44850</v>
      </c>
      <c r="H802" s="53">
        <v>1055</v>
      </c>
      <c r="I802" s="53">
        <v>1011</v>
      </c>
      <c r="J802" s="39" t="s">
        <v>33</v>
      </c>
      <c r="K802" s="39" t="s">
        <v>1174</v>
      </c>
      <c r="L802" s="39" t="s">
        <v>1098</v>
      </c>
      <c r="M802" s="37">
        <v>45413</v>
      </c>
      <c r="N802" s="39"/>
      <c r="O802" s="40"/>
    </row>
    <row r="803" spans="1:16" x14ac:dyDescent="0.55000000000000004">
      <c r="A803" s="24" t="str">
        <f>IF(COUNTIF(B803:$B$5014,B803)&gt;1,IF(COUNTIF($B$5:B803,B803)&gt;1,"",B803&amp;"-I"),B803)</f>
        <v>1033-I</v>
      </c>
      <c r="B803" s="29">
        <f t="shared" si="12"/>
        <v>1033</v>
      </c>
      <c r="C803" s="36" t="s">
        <v>816</v>
      </c>
      <c r="D803" s="53">
        <v>959</v>
      </c>
      <c r="E803" s="53" t="s">
        <v>834</v>
      </c>
      <c r="F803" s="53" t="s">
        <v>11</v>
      </c>
      <c r="G803" s="54">
        <v>44851</v>
      </c>
      <c r="H803" s="53">
        <v>1055</v>
      </c>
      <c r="I803" s="53">
        <v>1033</v>
      </c>
      <c r="J803" s="39" t="s">
        <v>33</v>
      </c>
      <c r="K803" s="39" t="s">
        <v>1087</v>
      </c>
      <c r="L803" s="39"/>
      <c r="M803" s="37">
        <v>45224</v>
      </c>
      <c r="N803" s="39">
        <v>6.3</v>
      </c>
      <c r="O803" s="40">
        <v>1650</v>
      </c>
    </row>
    <row r="804" spans="1:16" x14ac:dyDescent="0.55000000000000004">
      <c r="A804" s="24" t="str">
        <f>IF(COUNTIF(B804:$B$5014,B804)&gt;1,IF(COUNTIF($B$5:B804,B804)&gt;1,"",B804&amp;"-I"),B804)</f>
        <v/>
      </c>
      <c r="B804" s="29">
        <f t="shared" si="12"/>
        <v>985</v>
      </c>
      <c r="C804" s="36" t="s">
        <v>817</v>
      </c>
      <c r="D804" s="53">
        <v>960</v>
      </c>
      <c r="E804" s="53" t="s">
        <v>834</v>
      </c>
      <c r="F804" s="53" t="s">
        <v>12</v>
      </c>
      <c r="G804" s="54">
        <v>44851</v>
      </c>
      <c r="H804" s="53">
        <v>1055</v>
      </c>
      <c r="I804" s="53">
        <v>985</v>
      </c>
      <c r="J804" s="39" t="s">
        <v>33</v>
      </c>
      <c r="K804" s="39" t="s">
        <v>1174</v>
      </c>
      <c r="L804" s="39" t="s">
        <v>1098</v>
      </c>
      <c r="M804" s="37">
        <v>45413</v>
      </c>
      <c r="N804" s="39"/>
      <c r="O804" s="40"/>
    </row>
    <row r="805" spans="1:16" x14ac:dyDescent="0.55000000000000004">
      <c r="A805" s="24" t="str">
        <f>IF(COUNTIF(B805:$B$5014,B805)&gt;1,IF(COUNTIF($B$5:B805,B805)&gt;1,"",B805&amp;"-I"),B805)</f>
        <v>1024-I</v>
      </c>
      <c r="B805" s="29">
        <f t="shared" si="12"/>
        <v>1024</v>
      </c>
      <c r="C805" s="36" t="s">
        <v>818</v>
      </c>
      <c r="D805" s="53">
        <v>961</v>
      </c>
      <c r="E805" s="53" t="s">
        <v>834</v>
      </c>
      <c r="F805" s="53" t="s">
        <v>12</v>
      </c>
      <c r="G805" s="54">
        <v>44853</v>
      </c>
      <c r="H805" s="53">
        <v>1043</v>
      </c>
      <c r="I805" s="53">
        <v>1024</v>
      </c>
      <c r="J805" s="39" t="s">
        <v>33</v>
      </c>
      <c r="K805" s="39" t="s">
        <v>1165</v>
      </c>
      <c r="L805" s="39" t="s">
        <v>1098</v>
      </c>
      <c r="M805" s="37">
        <v>45413</v>
      </c>
      <c r="N805" s="39"/>
      <c r="O805" s="40"/>
    </row>
    <row r="806" spans="1:16" x14ac:dyDescent="0.55000000000000004">
      <c r="A806" s="24">
        <f>IF(COUNTIF(B806:$B$5014,B806)&gt;1,IF(COUNTIF($B$5:B806,B806)&gt;1,"",B806&amp;"-I"),B806)</f>
        <v>889</v>
      </c>
      <c r="B806" s="29">
        <f t="shared" si="12"/>
        <v>889</v>
      </c>
      <c r="C806" s="36" t="s">
        <v>819</v>
      </c>
      <c r="D806" s="53">
        <v>962</v>
      </c>
      <c r="E806" s="53" t="s">
        <v>833</v>
      </c>
      <c r="F806" s="53" t="s">
        <v>12</v>
      </c>
      <c r="G806" s="54">
        <v>44860</v>
      </c>
      <c r="H806" s="53">
        <v>1055</v>
      </c>
      <c r="I806" s="53">
        <v>889</v>
      </c>
      <c r="J806" s="39" t="s">
        <v>33</v>
      </c>
      <c r="K806" s="39" t="s">
        <v>1087</v>
      </c>
      <c r="L806" s="39"/>
      <c r="M806" s="37">
        <v>45401</v>
      </c>
      <c r="N806" s="39">
        <v>6.8</v>
      </c>
      <c r="O806" s="40">
        <v>1650</v>
      </c>
    </row>
    <row r="807" spans="1:16" x14ac:dyDescent="0.55000000000000004">
      <c r="A807" s="24" t="str">
        <f>IF(COUNTIF(B807:$B$5014,B807)&gt;1,IF(COUNTIF($B$5:B807,B807)&gt;1,"",B807&amp;"-I"),B807)</f>
        <v>1042-I</v>
      </c>
      <c r="B807" s="29">
        <f t="shared" si="12"/>
        <v>1042</v>
      </c>
      <c r="C807" s="36" t="s">
        <v>820</v>
      </c>
      <c r="D807" s="53">
        <v>963</v>
      </c>
      <c r="E807" s="53" t="s">
        <v>833</v>
      </c>
      <c r="F807" s="53" t="s">
        <v>11</v>
      </c>
      <c r="G807" s="54">
        <v>44866</v>
      </c>
      <c r="H807" s="53">
        <v>1055</v>
      </c>
      <c r="I807" s="53">
        <v>1042</v>
      </c>
      <c r="J807" s="39" t="s">
        <v>33</v>
      </c>
      <c r="K807" s="39" t="s">
        <v>1087</v>
      </c>
      <c r="L807" s="39"/>
      <c r="M807" s="37">
        <v>45224</v>
      </c>
      <c r="N807" s="39">
        <v>6.3</v>
      </c>
      <c r="O807" s="40">
        <v>1650</v>
      </c>
    </row>
    <row r="808" spans="1:16" x14ac:dyDescent="0.55000000000000004">
      <c r="A808" s="24" t="str">
        <f>IF(COUNTIF(B808:$B$5014,B808)&gt;1,IF(COUNTIF($B$5:B808,B808)&gt;1,"",B808&amp;"-I"),B808)</f>
        <v/>
      </c>
      <c r="B808" s="29">
        <f t="shared" si="12"/>
        <v>988</v>
      </c>
      <c r="C808" s="36" t="s">
        <v>821</v>
      </c>
      <c r="D808" s="53">
        <v>964</v>
      </c>
      <c r="E808" s="53" t="s">
        <v>834</v>
      </c>
      <c r="F808" s="53" t="s">
        <v>11</v>
      </c>
      <c r="G808" s="54">
        <v>44875</v>
      </c>
      <c r="H808" s="53">
        <v>1043</v>
      </c>
      <c r="I808" s="53">
        <v>988</v>
      </c>
      <c r="J808" s="39" t="s">
        <v>33</v>
      </c>
      <c r="K808" s="39" t="s">
        <v>1087</v>
      </c>
      <c r="L808" s="39"/>
      <c r="M808" s="37">
        <v>45224</v>
      </c>
      <c r="N808" s="39">
        <v>6.3</v>
      </c>
      <c r="O808" s="40">
        <v>1650</v>
      </c>
      <c r="P808" s="100" t="s">
        <v>913</v>
      </c>
    </row>
    <row r="809" spans="1:16" x14ac:dyDescent="0.55000000000000004">
      <c r="A809" s="24" t="str">
        <f>IF(COUNTIF(B809:$B$5014,B809)&gt;1,IF(COUNTIF($B$5:B809,B809)&gt;1,"",B809&amp;"-I"),B809)</f>
        <v/>
      </c>
      <c r="B809" s="29">
        <f t="shared" si="12"/>
        <v>957</v>
      </c>
      <c r="C809" s="36" t="s">
        <v>822</v>
      </c>
      <c r="D809" s="53">
        <v>965</v>
      </c>
      <c r="E809" s="53" t="s">
        <v>833</v>
      </c>
      <c r="F809" s="53" t="s">
        <v>12</v>
      </c>
      <c r="G809" s="54">
        <v>44876</v>
      </c>
      <c r="H809" s="53">
        <v>1055</v>
      </c>
      <c r="I809" s="53">
        <v>957</v>
      </c>
      <c r="J809" s="39" t="s">
        <v>33</v>
      </c>
      <c r="K809" s="39" t="s">
        <v>1087</v>
      </c>
      <c r="L809" s="39"/>
      <c r="M809" s="37">
        <v>45401</v>
      </c>
      <c r="N809" s="39">
        <v>6.8</v>
      </c>
      <c r="O809" s="40">
        <v>1650</v>
      </c>
    </row>
    <row r="810" spans="1:16" x14ac:dyDescent="0.55000000000000004">
      <c r="A810" s="24" t="str">
        <f>IF(COUNTIF(B810:$B$5014,B810)&gt;1,IF(COUNTIF($B$5:B810,B810)&gt;1,"",B810&amp;"-I"),B810)</f>
        <v/>
      </c>
      <c r="B810" s="29">
        <f t="shared" si="12"/>
        <v>931</v>
      </c>
      <c r="C810" s="36" t="s">
        <v>823</v>
      </c>
      <c r="D810" s="53">
        <v>966</v>
      </c>
      <c r="E810" s="53" t="s">
        <v>833</v>
      </c>
      <c r="F810" s="53" t="s">
        <v>12</v>
      </c>
      <c r="G810" s="54">
        <v>44878</v>
      </c>
      <c r="H810" s="53">
        <v>1055</v>
      </c>
      <c r="I810" s="53">
        <v>931</v>
      </c>
      <c r="J810" s="39" t="s">
        <v>33</v>
      </c>
      <c r="K810" s="47" t="s">
        <v>1157</v>
      </c>
      <c r="L810" s="39" t="s">
        <v>1153</v>
      </c>
      <c r="M810" s="39"/>
      <c r="N810" s="39"/>
      <c r="O810" s="40"/>
    </row>
    <row r="811" spans="1:16" x14ac:dyDescent="0.55000000000000004">
      <c r="A811" s="24" t="str">
        <f>IF(COUNTIF(B811:$B$5014,B811)&gt;1,IF(COUNTIF($B$5:B811,B811)&gt;1,"",B811&amp;"-I"),B811)</f>
        <v/>
      </c>
      <c r="B811" s="29">
        <f t="shared" si="12"/>
        <v>963</v>
      </c>
      <c r="C811" s="36" t="s">
        <v>824</v>
      </c>
      <c r="D811" s="53">
        <v>967</v>
      </c>
      <c r="E811" s="53" t="s">
        <v>833</v>
      </c>
      <c r="F811" s="53" t="s">
        <v>12</v>
      </c>
      <c r="G811" s="54">
        <v>44880</v>
      </c>
      <c r="H811" s="53">
        <v>1043</v>
      </c>
      <c r="I811" s="53">
        <v>963</v>
      </c>
      <c r="J811" s="39" t="s">
        <v>33</v>
      </c>
      <c r="K811" s="39" t="s">
        <v>1087</v>
      </c>
      <c r="L811" s="39"/>
      <c r="M811" s="37">
        <v>45401</v>
      </c>
      <c r="N811" s="39">
        <v>6.8</v>
      </c>
      <c r="O811" s="40">
        <v>1646</v>
      </c>
    </row>
    <row r="812" spans="1:16" x14ac:dyDescent="0.55000000000000004">
      <c r="A812" s="24" t="str">
        <f>IF(COUNTIF(B812:$B$5014,B812)&gt;1,IF(COUNTIF($B$5:B812,B812)&gt;1,"",B812&amp;"-I"),B812)</f>
        <v/>
      </c>
      <c r="B812" s="29">
        <f t="shared" si="12"/>
        <v>973</v>
      </c>
      <c r="C812" s="36" t="s">
        <v>825</v>
      </c>
      <c r="D812" s="53">
        <v>968</v>
      </c>
      <c r="E812" s="53" t="s">
        <v>833</v>
      </c>
      <c r="F812" s="53" t="s">
        <v>11</v>
      </c>
      <c r="G812" s="54">
        <v>44880</v>
      </c>
      <c r="H812" s="53">
        <v>1055</v>
      </c>
      <c r="I812" s="53">
        <v>973</v>
      </c>
      <c r="J812" s="39" t="s">
        <v>33</v>
      </c>
      <c r="K812" s="39" t="s">
        <v>1087</v>
      </c>
      <c r="L812" s="39"/>
      <c r="M812" s="37">
        <v>45224</v>
      </c>
      <c r="N812" s="39">
        <v>6.8</v>
      </c>
      <c r="O812" s="40">
        <v>1650</v>
      </c>
    </row>
    <row r="813" spans="1:16" x14ac:dyDescent="0.55000000000000004">
      <c r="A813" s="24" t="str">
        <f>IF(COUNTIF(B813:$B$5014,B813)&gt;1,IF(COUNTIF($B$5:B813,B813)&gt;1,"",B813&amp;"-I"),B813)</f>
        <v>1036-I</v>
      </c>
      <c r="B813" s="29">
        <f t="shared" si="12"/>
        <v>1036</v>
      </c>
      <c r="C813" s="36" t="s">
        <v>826</v>
      </c>
      <c r="D813" s="53">
        <v>969</v>
      </c>
      <c r="E813" s="53" t="s">
        <v>833</v>
      </c>
      <c r="F813" s="53" t="s">
        <v>11</v>
      </c>
      <c r="G813" s="54">
        <v>44885</v>
      </c>
      <c r="H813" s="53">
        <v>1055</v>
      </c>
      <c r="I813" s="53">
        <v>1036</v>
      </c>
      <c r="J813" s="39" t="s">
        <v>33</v>
      </c>
      <c r="K813" s="39" t="s">
        <v>1087</v>
      </c>
      <c r="L813" s="39"/>
      <c r="M813" s="37">
        <v>45224</v>
      </c>
      <c r="N813" s="39">
        <v>6.3</v>
      </c>
      <c r="O813" s="40">
        <v>1650</v>
      </c>
    </row>
    <row r="814" spans="1:16" x14ac:dyDescent="0.55000000000000004">
      <c r="A814" s="24" t="str">
        <f>IF(COUNTIF(B814:$B$5014,B814)&gt;1,IF(COUNTIF($B$5:B814,B814)&gt;1,"",B814&amp;"-I"),B814)</f>
        <v>1038-I</v>
      </c>
      <c r="B814" s="29">
        <f t="shared" si="12"/>
        <v>1038</v>
      </c>
      <c r="C814" s="36" t="s">
        <v>827</v>
      </c>
      <c r="D814" s="53">
        <v>970</v>
      </c>
      <c r="E814" s="53" t="s">
        <v>833</v>
      </c>
      <c r="F814" s="53" t="s">
        <v>11</v>
      </c>
      <c r="G814" s="54">
        <v>44886</v>
      </c>
      <c r="H814" s="53">
        <v>1055</v>
      </c>
      <c r="I814" s="53">
        <v>1038</v>
      </c>
      <c r="J814" s="39" t="s">
        <v>33</v>
      </c>
      <c r="K814" s="39" t="s">
        <v>1087</v>
      </c>
      <c r="L814" s="39"/>
      <c r="M814" s="37">
        <v>45224</v>
      </c>
      <c r="N814" s="39">
        <v>6.3</v>
      </c>
      <c r="O814" s="40">
        <v>1650</v>
      </c>
    </row>
    <row r="815" spans="1:16" x14ac:dyDescent="0.55000000000000004">
      <c r="A815" s="24">
        <f>IF(COUNTIF(B815:$B$5014,B815)&gt;1,IF(COUNTIF($B$5:B815,B815)&gt;1,"",B815&amp;"-I"),B815)</f>
        <v>977</v>
      </c>
      <c r="B815" s="29">
        <f t="shared" si="12"/>
        <v>977</v>
      </c>
      <c r="C815" s="36" t="s">
        <v>828</v>
      </c>
      <c r="D815" s="53">
        <v>971</v>
      </c>
      <c r="E815" s="53" t="s">
        <v>833</v>
      </c>
      <c r="F815" s="53" t="s">
        <v>12</v>
      </c>
      <c r="G815" s="54">
        <v>44887</v>
      </c>
      <c r="H815" s="53">
        <v>1055</v>
      </c>
      <c r="I815" s="53">
        <v>977</v>
      </c>
      <c r="J815" s="39" t="s">
        <v>33</v>
      </c>
      <c r="K815" s="39" t="s">
        <v>1088</v>
      </c>
      <c r="L815" s="39"/>
      <c r="M815" s="37">
        <v>45187</v>
      </c>
      <c r="N815" s="39">
        <v>5.8</v>
      </c>
      <c r="O815" s="40">
        <v>1566</v>
      </c>
    </row>
    <row r="816" spans="1:16" x14ac:dyDescent="0.55000000000000004">
      <c r="A816" s="24" t="str">
        <f>IF(COUNTIF(B816:$B$5014,B816)&gt;1,IF(COUNTIF($B$5:B816,B816)&gt;1,"",B816&amp;"-I"),B816)</f>
        <v>1040-I</v>
      </c>
      <c r="B816" s="29">
        <f t="shared" si="12"/>
        <v>1040</v>
      </c>
      <c r="C816" s="36" t="s">
        <v>829</v>
      </c>
      <c r="D816" s="53">
        <v>972</v>
      </c>
      <c r="E816" s="53" t="s">
        <v>833</v>
      </c>
      <c r="F816" s="53" t="s">
        <v>12</v>
      </c>
      <c r="G816" s="54">
        <v>44887</v>
      </c>
      <c r="H816" s="53">
        <v>1055</v>
      </c>
      <c r="I816" s="53">
        <v>1040</v>
      </c>
      <c r="J816" s="39" t="s">
        <v>33</v>
      </c>
      <c r="K816" s="39" t="s">
        <v>1087</v>
      </c>
      <c r="L816" s="39"/>
      <c r="M816" s="37">
        <v>45401</v>
      </c>
      <c r="N816" s="39">
        <v>6.8</v>
      </c>
      <c r="O816" s="40">
        <v>1646</v>
      </c>
    </row>
    <row r="817" spans="1:15" x14ac:dyDescent="0.55000000000000004">
      <c r="A817" s="24">
        <f>IF(COUNTIF(B817:$B$5014,B817)&gt;1,IF(COUNTIF($B$5:B817,B817)&gt;1,"",B817&amp;"-I"),B817)</f>
        <v>862</v>
      </c>
      <c r="B817" s="29">
        <f t="shared" si="12"/>
        <v>862</v>
      </c>
      <c r="C817" s="36" t="s">
        <v>830</v>
      </c>
      <c r="D817" s="53">
        <v>973</v>
      </c>
      <c r="E817" s="53" t="s">
        <v>833</v>
      </c>
      <c r="F817" s="53" t="s">
        <v>12</v>
      </c>
      <c r="G817" s="54">
        <v>44893</v>
      </c>
      <c r="H817" s="53">
        <v>1043</v>
      </c>
      <c r="I817" s="53">
        <v>862</v>
      </c>
      <c r="J817" s="39" t="s">
        <v>33</v>
      </c>
      <c r="K817" s="39" t="s">
        <v>1087</v>
      </c>
      <c r="L817" s="39"/>
      <c r="M817" s="37">
        <v>45401</v>
      </c>
      <c r="N817" s="39">
        <v>6.8</v>
      </c>
      <c r="O817" s="40">
        <v>1646</v>
      </c>
    </row>
    <row r="818" spans="1:15" x14ac:dyDescent="0.55000000000000004">
      <c r="A818" s="24">
        <f>IF(COUNTIF(B818:$B$5014,B818)&gt;1,IF(COUNTIF($B$5:B818,B818)&gt;1,"",B818&amp;"-I"),B818)</f>
        <v>885</v>
      </c>
      <c r="B818" s="29">
        <f t="shared" si="12"/>
        <v>885</v>
      </c>
      <c r="C818" s="36" t="s">
        <v>831</v>
      </c>
      <c r="D818" s="53">
        <v>974</v>
      </c>
      <c r="E818" s="53" t="s">
        <v>833</v>
      </c>
      <c r="F818" s="53" t="s">
        <v>12</v>
      </c>
      <c r="G818" s="54">
        <v>44894</v>
      </c>
      <c r="H818" s="53">
        <v>1055</v>
      </c>
      <c r="I818" s="53">
        <v>885</v>
      </c>
      <c r="J818" s="39" t="s">
        <v>33</v>
      </c>
      <c r="K818" s="39" t="s">
        <v>1087</v>
      </c>
      <c r="L818" s="39"/>
      <c r="M818" s="37">
        <v>45401</v>
      </c>
      <c r="N818" s="39">
        <v>6.8</v>
      </c>
      <c r="O818" s="40">
        <v>1646</v>
      </c>
    </row>
    <row r="819" spans="1:15" x14ac:dyDescent="0.55000000000000004">
      <c r="A819" s="24" t="str">
        <f>IF(COUNTIF(B819:$B$5014,B819)&gt;1,IF(COUNTIF($B$5:B819,B819)&gt;1,"",B819&amp;"-I"),B819)</f>
        <v/>
      </c>
      <c r="B819" s="29">
        <f t="shared" si="12"/>
        <v>867</v>
      </c>
      <c r="C819" s="36" t="s">
        <v>950</v>
      </c>
      <c r="D819" s="53">
        <v>975</v>
      </c>
      <c r="E819" s="53" t="s">
        <v>833</v>
      </c>
      <c r="F819" s="53" t="s">
        <v>11</v>
      </c>
      <c r="G819" s="54">
        <v>44896</v>
      </c>
      <c r="H819" s="53">
        <v>1055</v>
      </c>
      <c r="I819" s="53">
        <v>867</v>
      </c>
      <c r="J819" s="39" t="s">
        <v>33</v>
      </c>
      <c r="K819" s="39" t="s">
        <v>1087</v>
      </c>
      <c r="L819" s="39"/>
      <c r="M819" s="37">
        <v>45224</v>
      </c>
      <c r="N819" s="39">
        <v>6.3</v>
      </c>
      <c r="O819" s="40">
        <v>1650</v>
      </c>
    </row>
    <row r="820" spans="1:15" x14ac:dyDescent="0.55000000000000004">
      <c r="A820" s="24" t="str">
        <f>IF(COUNTIF(B820:$B$5014,B820)&gt;1,IF(COUNTIF($B$5:B820,B820)&gt;1,"",B820&amp;"-I"),B820)</f>
        <v>1023-I</v>
      </c>
      <c r="B820" s="29">
        <f t="shared" si="12"/>
        <v>1023</v>
      </c>
      <c r="C820" s="36" t="s">
        <v>951</v>
      </c>
      <c r="D820" s="53">
        <v>976</v>
      </c>
      <c r="E820" s="53" t="s">
        <v>834</v>
      </c>
      <c r="F820" s="53" t="s">
        <v>12</v>
      </c>
      <c r="G820" s="54">
        <v>44897</v>
      </c>
      <c r="H820" s="53">
        <v>1043</v>
      </c>
      <c r="I820" s="53">
        <v>1023</v>
      </c>
      <c r="J820" s="39" t="s">
        <v>33</v>
      </c>
      <c r="K820" s="39" t="s">
        <v>1087</v>
      </c>
      <c r="L820" s="39"/>
      <c r="M820" s="37">
        <v>45401</v>
      </c>
      <c r="N820" s="39">
        <v>6.8</v>
      </c>
      <c r="O820" s="40">
        <v>1646</v>
      </c>
    </row>
    <row r="821" spans="1:15" x14ac:dyDescent="0.55000000000000004">
      <c r="A821" s="24" t="str">
        <f>IF(COUNTIF(B821:$B$5014,B821)&gt;1,IF(COUNTIF($B$5:B821,B821)&gt;1,"",B821&amp;"-I"),B821)</f>
        <v/>
      </c>
      <c r="B821" s="29">
        <f t="shared" si="12"/>
        <v>873</v>
      </c>
      <c r="C821" s="36" t="s">
        <v>952</v>
      </c>
      <c r="D821" s="53">
        <v>977</v>
      </c>
      <c r="E821" s="53" t="s">
        <v>834</v>
      </c>
      <c r="F821" s="53" t="s">
        <v>11</v>
      </c>
      <c r="G821" s="54">
        <v>44897</v>
      </c>
      <c r="H821" s="53">
        <v>1055</v>
      </c>
      <c r="I821" s="53">
        <v>873</v>
      </c>
      <c r="J821" s="39" t="s">
        <v>33</v>
      </c>
      <c r="K821" s="39" t="s">
        <v>1087</v>
      </c>
      <c r="L821" s="39"/>
      <c r="M821" s="37">
        <v>45224</v>
      </c>
      <c r="N821" s="39">
        <v>6.3</v>
      </c>
      <c r="O821" s="40">
        <v>1650</v>
      </c>
    </row>
    <row r="822" spans="1:15" x14ac:dyDescent="0.55000000000000004">
      <c r="A822" s="24" t="str">
        <f>IF(COUNTIF(B822:$B$5014,B822)&gt;1,IF(COUNTIF($B$5:B822,B822)&gt;1,"",B822&amp;"-I"),B822)</f>
        <v/>
      </c>
      <c r="B822" s="29">
        <f t="shared" si="12"/>
        <v>858</v>
      </c>
      <c r="C822" s="36" t="s">
        <v>953</v>
      </c>
      <c r="D822" s="53">
        <v>978</v>
      </c>
      <c r="E822" s="53" t="s">
        <v>833</v>
      </c>
      <c r="F822" s="53" t="s">
        <v>11</v>
      </c>
      <c r="G822" s="54">
        <v>44899</v>
      </c>
      <c r="H822" s="53">
        <v>1043</v>
      </c>
      <c r="I822" s="53">
        <v>858</v>
      </c>
      <c r="J822" s="39" t="s">
        <v>33</v>
      </c>
      <c r="K822" s="39" t="s">
        <v>1087</v>
      </c>
      <c r="L822" s="39"/>
      <c r="M822" s="37">
        <v>45224</v>
      </c>
      <c r="N822" s="39">
        <v>6.3</v>
      </c>
      <c r="O822" s="40">
        <v>1650</v>
      </c>
    </row>
    <row r="823" spans="1:15" x14ac:dyDescent="0.55000000000000004">
      <c r="A823" s="24" t="str">
        <f>IF(COUNTIF(B823:$B$5014,B823)&gt;1,IF(COUNTIF($B$5:B823,B823)&gt;1,"",B823&amp;"-I"),B823)</f>
        <v/>
      </c>
      <c r="B823" s="29">
        <f t="shared" si="12"/>
        <v>899</v>
      </c>
      <c r="C823" s="36" t="s">
        <v>954</v>
      </c>
      <c r="D823" s="53">
        <v>979</v>
      </c>
      <c r="E823" s="53" t="s">
        <v>833</v>
      </c>
      <c r="F823" s="53" t="s">
        <v>12</v>
      </c>
      <c r="G823" s="54">
        <v>44904</v>
      </c>
      <c r="H823" s="53">
        <v>1055</v>
      </c>
      <c r="I823" s="53">
        <v>899</v>
      </c>
      <c r="J823" s="39" t="s">
        <v>33</v>
      </c>
      <c r="K823" s="39" t="s">
        <v>1087</v>
      </c>
      <c r="L823" s="39"/>
      <c r="M823" s="37">
        <v>45401</v>
      </c>
      <c r="N823" s="39">
        <v>6.8</v>
      </c>
      <c r="O823" s="40">
        <v>1646</v>
      </c>
    </row>
    <row r="824" spans="1:15" x14ac:dyDescent="0.55000000000000004">
      <c r="A824" s="24" t="str">
        <f>IF(COUNTIF(B824:$B$5014,B824)&gt;1,IF(COUNTIF($B$5:B824,B824)&gt;1,"",B824&amp;"-I"),B824)</f>
        <v>1035-I</v>
      </c>
      <c r="B824" s="29">
        <f t="shared" si="12"/>
        <v>1035</v>
      </c>
      <c r="C824" s="36" t="s">
        <v>955</v>
      </c>
      <c r="D824" s="53">
        <v>980</v>
      </c>
      <c r="E824" s="53" t="s">
        <v>833</v>
      </c>
      <c r="F824" s="53" t="s">
        <v>11</v>
      </c>
      <c r="G824" s="54">
        <v>44905</v>
      </c>
      <c r="H824" s="53">
        <v>1055</v>
      </c>
      <c r="I824" s="53">
        <v>1035</v>
      </c>
      <c r="J824" s="39" t="s">
        <v>33</v>
      </c>
      <c r="K824" s="39" t="s">
        <v>1087</v>
      </c>
      <c r="L824" s="39"/>
      <c r="M824" s="37">
        <v>45224</v>
      </c>
      <c r="N824" s="39">
        <v>6.3</v>
      </c>
      <c r="O824" s="40">
        <v>1650</v>
      </c>
    </row>
    <row r="825" spans="1:15" x14ac:dyDescent="0.55000000000000004">
      <c r="A825" s="24" t="str">
        <f>IF(COUNTIF(B825:$B$5014,B825)&gt;1,IF(COUNTIF($B$5:B825,B825)&gt;1,"",B825&amp;"-I"),B825)</f>
        <v/>
      </c>
      <c r="B825" s="29">
        <f t="shared" si="12"/>
        <v>1009</v>
      </c>
      <c r="C825" s="85" t="s">
        <v>956</v>
      </c>
      <c r="D825" s="72">
        <v>981</v>
      </c>
      <c r="E825" s="53" t="s">
        <v>833</v>
      </c>
      <c r="F825" s="53" t="s">
        <v>11</v>
      </c>
      <c r="G825" s="54">
        <v>44912</v>
      </c>
      <c r="H825" s="53">
        <v>1043</v>
      </c>
      <c r="I825" s="53">
        <v>1009</v>
      </c>
      <c r="J825" s="39" t="s">
        <v>33</v>
      </c>
      <c r="K825" s="47" t="s">
        <v>1157</v>
      </c>
      <c r="L825" s="39" t="s">
        <v>964</v>
      </c>
      <c r="M825" s="39"/>
      <c r="N825" s="39"/>
      <c r="O825" s="40"/>
    </row>
    <row r="826" spans="1:15" x14ac:dyDescent="0.55000000000000004">
      <c r="A826" s="24" t="str">
        <f>IF(COUNTIF(B826:$B$5014,B826)&gt;1,IF(COUNTIF($B$5:B826,B826)&gt;1,"",B826&amp;"-I"),B826)</f>
        <v/>
      </c>
      <c r="B826" s="29">
        <f t="shared" si="12"/>
        <v>967</v>
      </c>
      <c r="C826" s="36" t="s">
        <v>957</v>
      </c>
      <c r="D826" s="53">
        <v>982</v>
      </c>
      <c r="E826" s="53" t="s">
        <v>833</v>
      </c>
      <c r="F826" s="53" t="s">
        <v>11</v>
      </c>
      <c r="G826" s="54">
        <v>44917</v>
      </c>
      <c r="H826" s="53">
        <v>1055</v>
      </c>
      <c r="I826" s="53">
        <v>967</v>
      </c>
      <c r="J826" s="39" t="s">
        <v>33</v>
      </c>
      <c r="K826" s="39" t="s">
        <v>1087</v>
      </c>
      <c r="L826" s="39"/>
      <c r="M826" s="37">
        <v>45224</v>
      </c>
      <c r="N826" s="39">
        <v>6.3</v>
      </c>
      <c r="O826" s="40">
        <v>1650</v>
      </c>
    </row>
    <row r="827" spans="1:15" x14ac:dyDescent="0.55000000000000004">
      <c r="A827" s="24" t="str">
        <f>IF(COUNTIF(B827:$B$5014,B827)&gt;1,IF(COUNTIF($B$5:B827,B827)&gt;1,"",B827&amp;"-I"),B827)</f>
        <v/>
      </c>
      <c r="B827" s="29">
        <f t="shared" si="12"/>
        <v>1012</v>
      </c>
      <c r="C827" s="36" t="s">
        <v>958</v>
      </c>
      <c r="D827" s="53">
        <v>983</v>
      </c>
      <c r="E827" s="53" t="s">
        <v>833</v>
      </c>
      <c r="F827" s="53" t="s">
        <v>12</v>
      </c>
      <c r="G827" s="54">
        <v>44918</v>
      </c>
      <c r="H827" s="53">
        <v>1055</v>
      </c>
      <c r="I827" s="53">
        <v>1012</v>
      </c>
      <c r="J827" s="39" t="s">
        <v>33</v>
      </c>
      <c r="K827" s="39" t="s">
        <v>1088</v>
      </c>
      <c r="L827" s="39"/>
      <c r="M827" s="37">
        <v>45187</v>
      </c>
      <c r="N827" s="88">
        <v>5.8</v>
      </c>
      <c r="O827" s="40">
        <v>1566</v>
      </c>
    </row>
    <row r="828" spans="1:15" x14ac:dyDescent="0.55000000000000004">
      <c r="A828" s="24" t="str">
        <f>IF(COUNTIF(B828:$B$5014,B828)&gt;1,IF(COUNTIF($B$5:B828,B828)&gt;1,"",B828&amp;"-I"),B828)</f>
        <v/>
      </c>
      <c r="B828" s="29">
        <f t="shared" si="12"/>
        <v>943</v>
      </c>
      <c r="C828" s="85" t="s">
        <v>959</v>
      </c>
      <c r="D828" s="72">
        <v>984</v>
      </c>
      <c r="E828" s="53" t="s">
        <v>833</v>
      </c>
      <c r="F828" s="53" t="s">
        <v>12</v>
      </c>
      <c r="G828" s="54">
        <v>44921</v>
      </c>
      <c r="H828" s="53">
        <v>1055</v>
      </c>
      <c r="I828" s="53">
        <v>943</v>
      </c>
      <c r="J828" s="39" t="s">
        <v>33</v>
      </c>
      <c r="K828" s="47" t="s">
        <v>1157</v>
      </c>
      <c r="L828" s="39" t="s">
        <v>1074</v>
      </c>
      <c r="M828" s="39" t="s">
        <v>1075</v>
      </c>
      <c r="N828" s="39" t="s">
        <v>1076</v>
      </c>
      <c r="O828" s="40"/>
    </row>
    <row r="829" spans="1:15" x14ac:dyDescent="0.55000000000000004">
      <c r="A829" s="24" t="str">
        <f>IF(COUNTIF(B829:$B$5014,B829)&gt;1,IF(COUNTIF($B$5:B829,B829)&gt;1,"",B829&amp;"-I"),B829)</f>
        <v>1045-I</v>
      </c>
      <c r="B829" s="29">
        <f t="shared" si="12"/>
        <v>1045</v>
      </c>
      <c r="C829" s="36" t="s">
        <v>960</v>
      </c>
      <c r="D829" s="53">
        <v>985</v>
      </c>
      <c r="E829" s="53" t="s">
        <v>833</v>
      </c>
      <c r="F829" s="53" t="s">
        <v>11</v>
      </c>
      <c r="G829" s="54">
        <v>44926</v>
      </c>
      <c r="H829" s="53">
        <v>1055</v>
      </c>
      <c r="I829" s="53">
        <v>1045</v>
      </c>
      <c r="J829" s="39" t="s">
        <v>33</v>
      </c>
      <c r="K829" s="39" t="s">
        <v>1087</v>
      </c>
      <c r="L829" s="39"/>
      <c r="M829" s="37">
        <v>45224</v>
      </c>
      <c r="N829" s="39">
        <v>6.3</v>
      </c>
      <c r="O829" s="40">
        <v>1650</v>
      </c>
    </row>
    <row r="830" spans="1:15" x14ac:dyDescent="0.55000000000000004">
      <c r="A830" s="24" t="str">
        <f>IF(COUNTIF(B830:$B$5014,B830)&gt;1,IF(COUNTIF($B$5:B830,B830)&gt;1,"",B830&amp;"-I"),B830)</f>
        <v/>
      </c>
      <c r="B830" s="29">
        <f t="shared" si="12"/>
        <v>969</v>
      </c>
      <c r="C830" s="36" t="s">
        <v>961</v>
      </c>
      <c r="D830" s="53">
        <v>986</v>
      </c>
      <c r="E830" s="53" t="s">
        <v>833</v>
      </c>
      <c r="F830" s="53" t="s">
        <v>12</v>
      </c>
      <c r="G830" s="54">
        <v>44928</v>
      </c>
      <c r="H830" s="53">
        <v>1055</v>
      </c>
      <c r="I830" s="53">
        <v>969</v>
      </c>
      <c r="J830" s="39" t="s">
        <v>33</v>
      </c>
      <c r="K830" s="39" t="s">
        <v>1087</v>
      </c>
      <c r="L830" s="39"/>
      <c r="M830" s="37">
        <v>45401</v>
      </c>
      <c r="N830" s="39">
        <v>6.8</v>
      </c>
      <c r="O830" s="40">
        <v>1646</v>
      </c>
    </row>
    <row r="831" spans="1:15" x14ac:dyDescent="0.55000000000000004">
      <c r="A831" s="24">
        <f>IF(COUNTIF(B831:$B$5014,B831)&gt;1,IF(COUNTIF($B$5:B831,B831)&gt;1,"",B831&amp;"-I"),B831)</f>
        <v>854</v>
      </c>
      <c r="B831" s="29">
        <f t="shared" si="12"/>
        <v>854</v>
      </c>
      <c r="C831" s="36" t="s">
        <v>962</v>
      </c>
      <c r="D831" s="53">
        <v>987</v>
      </c>
      <c r="E831" s="53" t="s">
        <v>834</v>
      </c>
      <c r="F831" s="53" t="s">
        <v>11</v>
      </c>
      <c r="G831" s="54">
        <v>44569</v>
      </c>
      <c r="H831" s="53">
        <v>1043</v>
      </c>
      <c r="I831" s="53">
        <v>854</v>
      </c>
      <c r="J831" s="39" t="s">
        <v>33</v>
      </c>
      <c r="K831" s="39" t="s">
        <v>1087</v>
      </c>
      <c r="L831" s="39"/>
      <c r="M831" s="37">
        <v>45401</v>
      </c>
      <c r="N831" s="39">
        <v>6.8</v>
      </c>
      <c r="O831" s="40">
        <v>1646</v>
      </c>
    </row>
    <row r="832" spans="1:15" ht="18.3" x14ac:dyDescent="0.7">
      <c r="A832" s="24">
        <f>IF(COUNTIF(B832:$B$5014,B832)&gt;1,IF(COUNTIF($B$5:B832,B832)&gt;1,"",B832&amp;"-I"),B832)</f>
        <v>884</v>
      </c>
      <c r="B832" s="29">
        <f t="shared" si="12"/>
        <v>884</v>
      </c>
      <c r="C832" s="85" t="s">
        <v>963</v>
      </c>
      <c r="D832" s="72">
        <v>988</v>
      </c>
      <c r="E832" s="53" t="s">
        <v>833</v>
      </c>
      <c r="F832" s="53" t="s">
        <v>11</v>
      </c>
      <c r="G832" s="54">
        <v>44939</v>
      </c>
      <c r="H832" s="53">
        <v>1043</v>
      </c>
      <c r="I832" s="53">
        <v>884</v>
      </c>
      <c r="J832" s="39" t="s">
        <v>33</v>
      </c>
      <c r="K832" s="168" t="s">
        <v>1157</v>
      </c>
      <c r="L832" s="39" t="s">
        <v>1072</v>
      </c>
      <c r="M832" s="39" t="s">
        <v>1073</v>
      </c>
      <c r="N832" s="37">
        <v>44940</v>
      </c>
      <c r="O832" s="40"/>
    </row>
    <row r="833" spans="1:15" x14ac:dyDescent="0.55000000000000004">
      <c r="A833" s="24" t="str">
        <f>IF(COUNTIF(B833:$B$5014,B833)&gt;1,IF(COUNTIF($B$5:B833,B833)&gt;1,"",B833&amp;"-I"),B833)</f>
        <v/>
      </c>
      <c r="B833" s="29">
        <f t="shared" si="12"/>
        <v>894</v>
      </c>
      <c r="C833" s="36" t="s">
        <v>968</v>
      </c>
      <c r="D833" s="127">
        <v>989</v>
      </c>
      <c r="E833" s="127" t="s">
        <v>833</v>
      </c>
      <c r="F833" s="127" t="s">
        <v>12</v>
      </c>
      <c r="G833" s="128">
        <v>44943</v>
      </c>
      <c r="H833" s="127">
        <v>1055</v>
      </c>
      <c r="I833" s="127">
        <v>894</v>
      </c>
      <c r="J833" s="129" t="s">
        <v>33</v>
      </c>
      <c r="K833" s="39" t="s">
        <v>1087</v>
      </c>
      <c r="L833" s="39"/>
      <c r="M833" s="37">
        <v>45401</v>
      </c>
      <c r="N833" s="39">
        <v>6.8</v>
      </c>
      <c r="O833" s="40">
        <v>1646</v>
      </c>
    </row>
    <row r="834" spans="1:15" x14ac:dyDescent="0.55000000000000004">
      <c r="A834" s="24" t="str">
        <f>IF(COUNTIF(B834:$B$5014,B834)&gt;1,IF(COUNTIF($B$5:B834,B834)&gt;1,"",B834&amp;"-I"),B834)</f>
        <v/>
      </c>
      <c r="B834" s="29">
        <f t="shared" ref="B834:B859" si="14">+I834</f>
        <v>945</v>
      </c>
      <c r="C834" s="36" t="s">
        <v>969</v>
      </c>
      <c r="D834" s="127">
        <v>990</v>
      </c>
      <c r="E834" s="127" t="s">
        <v>833</v>
      </c>
      <c r="F834" s="127" t="s">
        <v>12</v>
      </c>
      <c r="G834" s="128">
        <v>44951</v>
      </c>
      <c r="H834" s="127">
        <v>1055</v>
      </c>
      <c r="I834" s="127">
        <v>945</v>
      </c>
      <c r="J834" s="129" t="s">
        <v>33</v>
      </c>
      <c r="K834" s="39" t="s">
        <v>1087</v>
      </c>
      <c r="L834" s="39"/>
      <c r="M834" s="37">
        <v>45401</v>
      </c>
      <c r="N834" s="39">
        <v>6.8</v>
      </c>
      <c r="O834" s="40">
        <v>1646</v>
      </c>
    </row>
    <row r="835" spans="1:15" x14ac:dyDescent="0.55000000000000004">
      <c r="A835" s="24" t="str">
        <f>IF(COUNTIF(B835:$B$5014,B835)&gt;1,IF(COUNTIF($B$5:B835,B835)&gt;1,"",B835&amp;"-I"),B835)</f>
        <v/>
      </c>
      <c r="B835" s="29">
        <f t="shared" si="14"/>
        <v>934</v>
      </c>
      <c r="C835" s="36" t="s">
        <v>970</v>
      </c>
      <c r="D835" s="127">
        <v>991</v>
      </c>
      <c r="E835" s="127" t="s">
        <v>834</v>
      </c>
      <c r="F835" s="130" t="s">
        <v>12</v>
      </c>
      <c r="G835" s="128">
        <v>44953</v>
      </c>
      <c r="H835" s="127">
        <v>1055</v>
      </c>
      <c r="I835" s="127">
        <v>934</v>
      </c>
      <c r="J835" s="129" t="s">
        <v>33</v>
      </c>
      <c r="K835" s="39" t="s">
        <v>1087</v>
      </c>
      <c r="L835" s="39"/>
      <c r="M835" s="37">
        <v>45401</v>
      </c>
      <c r="N835" s="39">
        <v>6.8</v>
      </c>
      <c r="O835" s="40">
        <v>1646</v>
      </c>
    </row>
    <row r="836" spans="1:15" x14ac:dyDescent="0.55000000000000004">
      <c r="A836" s="24" t="str">
        <f>IF(COUNTIF(B836:$B$5014,B836)&gt;1,IF(COUNTIF($B$5:B836,B836)&gt;1,"",B836&amp;"-I"),B836)</f>
        <v/>
      </c>
      <c r="B836" s="29">
        <f t="shared" si="14"/>
        <v>980</v>
      </c>
      <c r="C836" s="36" t="s">
        <v>971</v>
      </c>
      <c r="D836" s="127">
        <v>992</v>
      </c>
      <c r="E836" s="127" t="s">
        <v>833</v>
      </c>
      <c r="F836" s="127" t="s">
        <v>11</v>
      </c>
      <c r="G836" s="128">
        <v>44955</v>
      </c>
      <c r="H836" s="127">
        <v>1055</v>
      </c>
      <c r="I836" s="127">
        <v>980</v>
      </c>
      <c r="J836" s="129" t="s">
        <v>33</v>
      </c>
      <c r="K836" s="39" t="s">
        <v>1087</v>
      </c>
      <c r="L836" s="39"/>
      <c r="M836" s="37">
        <v>45224</v>
      </c>
      <c r="N836" s="39">
        <v>6.3</v>
      </c>
      <c r="O836" s="40">
        <v>1650</v>
      </c>
    </row>
    <row r="837" spans="1:15" x14ac:dyDescent="0.55000000000000004">
      <c r="A837" s="24" t="str">
        <f>IF(COUNTIF(B837:$B$5014,B837)&gt;1,IF(COUNTIF($B$5:B837,B837)&gt;1,"",B837&amp;"-I"),B837)</f>
        <v/>
      </c>
      <c r="B837" s="29">
        <f t="shared" si="14"/>
        <v>958</v>
      </c>
      <c r="C837" s="36" t="s">
        <v>972</v>
      </c>
      <c r="D837" s="127">
        <v>993</v>
      </c>
      <c r="E837" s="127" t="s">
        <v>833</v>
      </c>
      <c r="F837" s="127" t="s">
        <v>11</v>
      </c>
      <c r="G837" s="128">
        <v>44956</v>
      </c>
      <c r="H837" s="127">
        <v>1055</v>
      </c>
      <c r="I837" s="127">
        <v>958</v>
      </c>
      <c r="J837" s="129" t="s">
        <v>33</v>
      </c>
      <c r="K837" s="39" t="s">
        <v>1087</v>
      </c>
      <c r="L837" s="39"/>
      <c r="M837" s="37">
        <v>45224</v>
      </c>
      <c r="N837" s="39">
        <v>6.3</v>
      </c>
      <c r="O837" s="40">
        <v>1650</v>
      </c>
    </row>
    <row r="838" spans="1:15" x14ac:dyDescent="0.55000000000000004">
      <c r="A838" s="24">
        <f>IF(COUNTIF(B838:$B$5014,B838)&gt;1,IF(COUNTIF($B$5:B838,B838)&gt;1,"",B838&amp;"-I"),B838)</f>
        <v>966</v>
      </c>
      <c r="B838" s="29">
        <f t="shared" si="14"/>
        <v>966</v>
      </c>
      <c r="C838" s="36" t="s">
        <v>973</v>
      </c>
      <c r="D838" s="127">
        <v>994</v>
      </c>
      <c r="E838" s="127" t="s">
        <v>833</v>
      </c>
      <c r="F838" s="127" t="s">
        <v>11</v>
      </c>
      <c r="G838" s="128">
        <v>44976</v>
      </c>
      <c r="H838" s="127">
        <v>1055</v>
      </c>
      <c r="I838" s="127">
        <v>966</v>
      </c>
      <c r="J838" s="129" t="s">
        <v>33</v>
      </c>
      <c r="K838" s="39" t="s">
        <v>1088</v>
      </c>
      <c r="L838" s="39"/>
      <c r="M838" s="37">
        <v>45187</v>
      </c>
      <c r="N838" s="39">
        <v>5.8</v>
      </c>
      <c r="O838" s="40">
        <v>1566</v>
      </c>
    </row>
    <row r="839" spans="1:15" x14ac:dyDescent="0.55000000000000004">
      <c r="A839" s="24" t="str">
        <f>IF(COUNTIF(B839:$B$5014,B839)&gt;1,IF(COUNTIF($B$5:B839,B839)&gt;1,"",B839&amp;"-I"),B839)</f>
        <v/>
      </c>
      <c r="B839" s="29">
        <f t="shared" si="14"/>
        <v>939</v>
      </c>
      <c r="C839" s="36" t="s">
        <v>974</v>
      </c>
      <c r="D839" s="127">
        <v>995</v>
      </c>
      <c r="E839" s="127" t="s">
        <v>834</v>
      </c>
      <c r="F839" s="127" t="s">
        <v>11</v>
      </c>
      <c r="G839" s="128">
        <v>44988</v>
      </c>
      <c r="H839" s="127">
        <v>1043</v>
      </c>
      <c r="I839" s="127">
        <v>939</v>
      </c>
      <c r="J839" s="129" t="s">
        <v>33</v>
      </c>
      <c r="K839" s="39" t="s">
        <v>1087</v>
      </c>
      <c r="L839" s="39"/>
      <c r="M839" s="37">
        <v>45224</v>
      </c>
      <c r="N839" s="39">
        <v>6.3</v>
      </c>
      <c r="O839" s="40">
        <v>1650</v>
      </c>
    </row>
    <row r="840" spans="1:15" x14ac:dyDescent="0.55000000000000004">
      <c r="A840" s="24" t="str">
        <f>IF(COUNTIF(B840:$B$5014,B840)&gt;1,IF(COUNTIF($B$5:B840,B840)&gt;1,"",B840&amp;"-I"),B840)</f>
        <v/>
      </c>
      <c r="B840" s="29">
        <f t="shared" si="14"/>
        <v>992</v>
      </c>
      <c r="C840" s="36" t="s">
        <v>975</v>
      </c>
      <c r="D840" s="127">
        <v>996</v>
      </c>
      <c r="E840" s="127" t="s">
        <v>833</v>
      </c>
      <c r="F840" s="127" t="s">
        <v>12</v>
      </c>
      <c r="G840" s="128">
        <v>44989</v>
      </c>
      <c r="H840" s="127">
        <v>1043</v>
      </c>
      <c r="I840" s="127">
        <v>992</v>
      </c>
      <c r="J840" s="129" t="s">
        <v>33</v>
      </c>
      <c r="K840" s="39" t="s">
        <v>1087</v>
      </c>
      <c r="L840" s="39"/>
      <c r="M840" s="37">
        <v>45522</v>
      </c>
      <c r="N840" s="39">
        <v>6.1</v>
      </c>
      <c r="O840" s="40">
        <v>1367</v>
      </c>
    </row>
    <row r="841" spans="1:15" x14ac:dyDescent="0.55000000000000004">
      <c r="A841" s="24">
        <f>IF(COUNTIF(B841:$B$5014,B841)&gt;1,IF(COUNTIF($B$5:B841,B841)&gt;1,"",B841&amp;"-I"),B841)</f>
        <v>936</v>
      </c>
      <c r="B841" s="29">
        <f t="shared" si="14"/>
        <v>936</v>
      </c>
      <c r="C841" s="36" t="s">
        <v>976</v>
      </c>
      <c r="D841" s="127">
        <v>997</v>
      </c>
      <c r="E841" s="127" t="s">
        <v>833</v>
      </c>
      <c r="F841" s="127" t="s">
        <v>11</v>
      </c>
      <c r="G841" s="128">
        <v>44993</v>
      </c>
      <c r="H841" s="127">
        <v>1043</v>
      </c>
      <c r="I841" s="127">
        <v>936</v>
      </c>
      <c r="J841" s="129" t="s">
        <v>33</v>
      </c>
      <c r="K841" s="39" t="s">
        <v>1087</v>
      </c>
      <c r="L841" s="39"/>
      <c r="M841" s="37">
        <v>45401</v>
      </c>
      <c r="N841" s="39">
        <v>6.8</v>
      </c>
      <c r="O841" s="40">
        <v>1646</v>
      </c>
    </row>
    <row r="842" spans="1:15" x14ac:dyDescent="0.55000000000000004">
      <c r="A842" s="24" t="str">
        <f>IF(COUNTIF(B842:$B$5014,B842)&gt;1,IF(COUNTIF($B$5:B842,B842)&gt;1,"",B842&amp;"-I"),B842)</f>
        <v/>
      </c>
      <c r="B842" s="29">
        <f t="shared" si="14"/>
        <v>961</v>
      </c>
      <c r="C842" s="36" t="s">
        <v>977</v>
      </c>
      <c r="D842" s="72">
        <v>998</v>
      </c>
      <c r="E842" s="53" t="s">
        <v>833</v>
      </c>
      <c r="F842" s="53" t="s">
        <v>11</v>
      </c>
      <c r="G842" s="54">
        <v>45045</v>
      </c>
      <c r="H842" s="53">
        <v>1055</v>
      </c>
      <c r="I842" s="53">
        <v>961</v>
      </c>
      <c r="J842" s="39" t="s">
        <v>33</v>
      </c>
      <c r="K842" s="47" t="s">
        <v>1157</v>
      </c>
      <c r="L842" s="39" t="s">
        <v>1101</v>
      </c>
      <c r="M842" s="39" t="s">
        <v>1102</v>
      </c>
      <c r="N842" s="39" t="s">
        <v>864</v>
      </c>
      <c r="O842" s="40" t="s">
        <v>864</v>
      </c>
    </row>
    <row r="843" spans="1:15" x14ac:dyDescent="0.55000000000000004">
      <c r="A843" s="24" t="str">
        <f>IF(COUNTIF(B843:$B$5014,B843)&gt;1,IF(COUNTIF($B$5:B843,B843)&gt;1,"",B843&amp;"-I"),B843)</f>
        <v/>
      </c>
      <c r="B843" s="29">
        <f t="shared" si="14"/>
        <v>987</v>
      </c>
      <c r="C843" s="36" t="s">
        <v>978</v>
      </c>
      <c r="D843" s="53">
        <v>999</v>
      </c>
      <c r="E843" s="53" t="s">
        <v>833</v>
      </c>
      <c r="F843" s="53" t="s">
        <v>12</v>
      </c>
      <c r="G843" s="54">
        <v>45111</v>
      </c>
      <c r="H843" s="53">
        <v>1055</v>
      </c>
      <c r="I843" s="53">
        <v>987</v>
      </c>
      <c r="J843" s="39" t="s">
        <v>33</v>
      </c>
      <c r="K843" s="39" t="s">
        <v>1087</v>
      </c>
      <c r="L843" s="39"/>
      <c r="M843" s="37">
        <v>45522</v>
      </c>
      <c r="N843" s="39">
        <v>6.1</v>
      </c>
      <c r="O843" s="40">
        <v>1367</v>
      </c>
    </row>
    <row r="844" spans="1:15" x14ac:dyDescent="0.55000000000000004">
      <c r="A844" s="24" t="str">
        <f>IF(COUNTIF(B844:$B$5014,B844)&gt;1,IF(COUNTIF($B$5:B844,B844)&gt;1,"",B844&amp;"-I"),B844)</f>
        <v/>
      </c>
      <c r="B844" s="29">
        <f t="shared" si="14"/>
        <v>876</v>
      </c>
      <c r="C844" s="36" t="s">
        <v>979</v>
      </c>
      <c r="D844" s="53">
        <v>1000</v>
      </c>
      <c r="E844" s="53" t="s">
        <v>834</v>
      </c>
      <c r="F844" s="53" t="s">
        <v>11</v>
      </c>
      <c r="G844" s="54">
        <v>45113</v>
      </c>
      <c r="H844" s="53">
        <v>1055</v>
      </c>
      <c r="I844" s="53">
        <v>876</v>
      </c>
      <c r="J844" s="39" t="s">
        <v>33</v>
      </c>
      <c r="K844" s="39" t="s">
        <v>1087</v>
      </c>
      <c r="L844" s="39"/>
      <c r="M844" s="37">
        <v>45401</v>
      </c>
      <c r="N844" s="39">
        <v>6.8</v>
      </c>
      <c r="O844" s="40">
        <v>1646</v>
      </c>
    </row>
    <row r="845" spans="1:15" x14ac:dyDescent="0.55000000000000004">
      <c r="A845" s="24">
        <f>IF(COUNTIF(B845:$B$5014,B845)&gt;1,IF(COUNTIF($B$5:B845,B845)&gt;1,"",B845&amp;"-I"),B845)</f>
        <v>1041</v>
      </c>
      <c r="B845" s="29">
        <f t="shared" si="14"/>
        <v>1041</v>
      </c>
      <c r="C845" s="36" t="s">
        <v>980</v>
      </c>
      <c r="D845" s="53">
        <v>1001</v>
      </c>
      <c r="E845" s="53" t="s">
        <v>833</v>
      </c>
      <c r="F845" s="53" t="s">
        <v>11</v>
      </c>
      <c r="G845" s="54">
        <v>45113</v>
      </c>
      <c r="H845" s="53">
        <v>1055</v>
      </c>
      <c r="I845" s="53">
        <v>1041</v>
      </c>
      <c r="J845" s="39" t="s">
        <v>33</v>
      </c>
      <c r="K845" s="39" t="s">
        <v>1087</v>
      </c>
      <c r="L845" s="39"/>
      <c r="M845" s="37">
        <v>45401</v>
      </c>
      <c r="N845" s="39">
        <v>6.8</v>
      </c>
      <c r="O845" s="40">
        <v>1646</v>
      </c>
    </row>
    <row r="846" spans="1:15" x14ac:dyDescent="0.55000000000000004">
      <c r="A846" s="24" t="str">
        <f>IF(COUNTIF(B846:$B$5014,B846)&gt;1,IF(COUNTIF($B$5:B846,B846)&gt;1,"",B846&amp;"-I"),B846)</f>
        <v/>
      </c>
      <c r="B846" s="29">
        <f t="shared" si="14"/>
        <v>881</v>
      </c>
      <c r="C846" s="36" t="s">
        <v>981</v>
      </c>
      <c r="D846" s="53">
        <v>1002</v>
      </c>
      <c r="E846" s="53" t="s">
        <v>833</v>
      </c>
      <c r="F846" s="53" t="s">
        <v>12</v>
      </c>
      <c r="G846" s="54">
        <v>45126</v>
      </c>
      <c r="H846" s="53">
        <v>1043</v>
      </c>
      <c r="I846" s="53">
        <v>881</v>
      </c>
      <c r="J846" s="39" t="s">
        <v>33</v>
      </c>
      <c r="K846" s="39" t="s">
        <v>1087</v>
      </c>
      <c r="L846" s="39"/>
      <c r="M846" s="37">
        <v>45522</v>
      </c>
      <c r="N846" s="39">
        <v>6.1</v>
      </c>
      <c r="O846" s="40">
        <v>1367</v>
      </c>
    </row>
    <row r="847" spans="1:15" x14ac:dyDescent="0.55000000000000004">
      <c r="A847" s="24" t="str">
        <f>IF(COUNTIF(B847:$B$5014,B847)&gt;1,IF(COUNTIF($B$5:B847,B847)&gt;1,"",B847&amp;"-I"),B847)</f>
        <v/>
      </c>
      <c r="B847" s="29">
        <f t="shared" si="14"/>
        <v>1043</v>
      </c>
      <c r="C847" s="36" t="s">
        <v>982</v>
      </c>
      <c r="D847" s="53">
        <v>1003</v>
      </c>
      <c r="E847" s="53" t="s">
        <v>833</v>
      </c>
      <c r="F847" s="53" t="s">
        <v>11</v>
      </c>
      <c r="G847" s="54">
        <v>45146</v>
      </c>
      <c r="H847" s="53">
        <v>1055</v>
      </c>
      <c r="I847" s="53">
        <v>1043</v>
      </c>
      <c r="J847" s="39" t="s">
        <v>33</v>
      </c>
      <c r="K847" s="39" t="s">
        <v>1087</v>
      </c>
      <c r="L847" s="39"/>
      <c r="M847" s="37">
        <v>45401</v>
      </c>
      <c r="N847" s="39">
        <v>6.8</v>
      </c>
      <c r="O847" s="40">
        <v>1646</v>
      </c>
    </row>
    <row r="848" spans="1:15" x14ac:dyDescent="0.55000000000000004">
      <c r="A848" s="24" t="str">
        <f>IF(COUNTIF(B848:$B$5014,B848)&gt;1,IF(COUNTIF($B$5:B848,B848)&gt;1,"",B848&amp;"-I"),B848)</f>
        <v>1046-I</v>
      </c>
      <c r="B848" s="29">
        <f t="shared" si="14"/>
        <v>1046</v>
      </c>
      <c r="C848" s="36" t="s">
        <v>983</v>
      </c>
      <c r="D848" s="53">
        <v>1004</v>
      </c>
      <c r="E848" s="53" t="s">
        <v>834</v>
      </c>
      <c r="F848" s="53" t="s">
        <v>12</v>
      </c>
      <c r="G848" s="54">
        <v>45150</v>
      </c>
      <c r="H848" s="53">
        <v>1055</v>
      </c>
      <c r="I848" s="53">
        <v>1046</v>
      </c>
      <c r="J848" s="39" t="s">
        <v>33</v>
      </c>
      <c r="K848" s="39" t="s">
        <v>1087</v>
      </c>
      <c r="L848" s="39"/>
      <c r="M848" s="37">
        <v>45522</v>
      </c>
      <c r="N848" s="39">
        <v>6.1</v>
      </c>
      <c r="O848" s="40">
        <v>1367</v>
      </c>
    </row>
    <row r="849" spans="1:16" x14ac:dyDescent="0.55000000000000004">
      <c r="A849" s="24" t="str">
        <f>IF(COUNTIF(B849:$B$5014,B849)&gt;1,IF(COUNTIF($B$5:B849,B849)&gt;1,"",B849&amp;"-I"),B849)</f>
        <v>1032-I</v>
      </c>
      <c r="B849" s="29">
        <f t="shared" si="14"/>
        <v>1032</v>
      </c>
      <c r="C849" s="36" t="s">
        <v>984</v>
      </c>
      <c r="D849" s="53">
        <v>1005</v>
      </c>
      <c r="E849" s="53" t="s">
        <v>834</v>
      </c>
      <c r="F849" s="53" t="s">
        <v>11</v>
      </c>
      <c r="G849" s="54">
        <v>45154</v>
      </c>
      <c r="H849" s="53">
        <v>1055</v>
      </c>
      <c r="I849" s="53">
        <v>1032</v>
      </c>
      <c r="J849" s="39" t="s">
        <v>33</v>
      </c>
      <c r="K849" s="39" t="s">
        <v>1087</v>
      </c>
      <c r="L849" s="39"/>
      <c r="M849" s="37">
        <v>45401</v>
      </c>
      <c r="N849" s="39">
        <v>6.8</v>
      </c>
      <c r="O849" s="40">
        <v>1646</v>
      </c>
    </row>
    <row r="850" spans="1:16" x14ac:dyDescent="0.55000000000000004">
      <c r="A850" s="24" t="str">
        <f>IF(COUNTIF(B850:$B$5014,B850)&gt;1,IF(COUNTIF($B$5:B850,B850)&gt;1,"",B850&amp;"-I"),B850)</f>
        <v/>
      </c>
      <c r="B850" s="29">
        <f t="shared" si="14"/>
        <v>990</v>
      </c>
      <c r="C850" s="36" t="s">
        <v>985</v>
      </c>
      <c r="D850" s="53">
        <v>1006</v>
      </c>
      <c r="E850" s="53" t="s">
        <v>833</v>
      </c>
      <c r="F850" s="53" t="s">
        <v>11</v>
      </c>
      <c r="G850" s="54">
        <v>45155</v>
      </c>
      <c r="H850" s="53">
        <v>1055</v>
      </c>
      <c r="I850" s="53">
        <v>990</v>
      </c>
      <c r="J850" s="39" t="s">
        <v>33</v>
      </c>
      <c r="K850" s="39" t="s">
        <v>1087</v>
      </c>
      <c r="L850" s="39"/>
      <c r="M850" s="37">
        <v>45401</v>
      </c>
      <c r="N850" s="39">
        <v>6.8</v>
      </c>
      <c r="O850" s="40">
        <v>1646</v>
      </c>
    </row>
    <row r="851" spans="1:16" x14ac:dyDescent="0.55000000000000004">
      <c r="A851" s="24" t="str">
        <f>IF(COUNTIF(B851:$B$5014,B851)&gt;1,IF(COUNTIF($B$5:B851,B851)&gt;1,"",B851&amp;"-I"),B851)</f>
        <v/>
      </c>
      <c r="B851" s="29">
        <f t="shared" si="14"/>
        <v>1010</v>
      </c>
      <c r="C851" s="36" t="s">
        <v>986</v>
      </c>
      <c r="D851" s="53">
        <v>1007</v>
      </c>
      <c r="E851" s="53" t="s">
        <v>833</v>
      </c>
      <c r="F851" s="53" t="s">
        <v>11</v>
      </c>
      <c r="G851" s="54">
        <v>45160</v>
      </c>
      <c r="H851" s="53">
        <v>1043</v>
      </c>
      <c r="I851" s="53">
        <v>1010</v>
      </c>
      <c r="J851" s="39" t="s">
        <v>33</v>
      </c>
      <c r="K851" s="39" t="s">
        <v>1087</v>
      </c>
      <c r="L851" s="39"/>
      <c r="M851" s="37">
        <v>45401</v>
      </c>
      <c r="N851" s="39">
        <v>6.8</v>
      </c>
      <c r="O851" s="40">
        <v>1646</v>
      </c>
    </row>
    <row r="852" spans="1:16" x14ac:dyDescent="0.55000000000000004">
      <c r="A852" s="24" t="str">
        <f>IF(COUNTIF(B852:$B$5014,B852)&gt;1,IF(COUNTIF($B$5:B852,B852)&gt;1,"",B852&amp;"-I"),B852)</f>
        <v/>
      </c>
      <c r="B852" s="29">
        <f t="shared" si="14"/>
        <v>1044</v>
      </c>
      <c r="C852" s="36" t="s">
        <v>987</v>
      </c>
      <c r="D852" s="53">
        <v>1008</v>
      </c>
      <c r="E852" s="53" t="s">
        <v>833</v>
      </c>
      <c r="F852" s="53" t="s">
        <v>12</v>
      </c>
      <c r="G852" s="54">
        <v>45163</v>
      </c>
      <c r="H852" s="53">
        <v>1055</v>
      </c>
      <c r="I852" s="53">
        <v>1044</v>
      </c>
      <c r="J852" s="39" t="s">
        <v>33</v>
      </c>
      <c r="K852" s="39" t="s">
        <v>1087</v>
      </c>
      <c r="L852" s="39"/>
      <c r="M852" s="37">
        <v>45522</v>
      </c>
      <c r="N852" s="39">
        <v>6.1</v>
      </c>
      <c r="O852" s="40">
        <v>1367</v>
      </c>
    </row>
    <row r="853" spans="1:16" x14ac:dyDescent="0.55000000000000004">
      <c r="A853" s="24" t="str">
        <f>IF(COUNTIF(B853:$B$5014,B853)&gt;1,IF(COUNTIF($B$5:B853,B853)&gt;1,"",B853&amp;"-I"),B853)</f>
        <v/>
      </c>
      <c r="B853" s="29">
        <f t="shared" si="14"/>
        <v>874</v>
      </c>
      <c r="C853" s="36" t="s">
        <v>988</v>
      </c>
      <c r="D853" s="53">
        <v>1009</v>
      </c>
      <c r="E853" s="53" t="s">
        <v>833</v>
      </c>
      <c r="F853" s="53" t="s">
        <v>11</v>
      </c>
      <c r="G853" s="54">
        <v>45165</v>
      </c>
      <c r="H853" s="53">
        <v>1043</v>
      </c>
      <c r="I853" s="53">
        <v>874</v>
      </c>
      <c r="J853" s="39" t="s">
        <v>33</v>
      </c>
      <c r="K853" s="39" t="s">
        <v>1087</v>
      </c>
      <c r="L853" s="39"/>
      <c r="M853" s="37">
        <v>45401</v>
      </c>
      <c r="N853" s="39">
        <v>6.8</v>
      </c>
      <c r="O853" s="40">
        <v>1646</v>
      </c>
    </row>
    <row r="854" spans="1:16" x14ac:dyDescent="0.55000000000000004">
      <c r="A854" s="24" t="str">
        <f>IF(COUNTIF(B854:$B$5014,B854)&gt;1,IF(COUNTIF($B$5:B854,B854)&gt;1,"",B854&amp;"-I"),B854)</f>
        <v/>
      </c>
      <c r="B854" s="29">
        <f t="shared" si="14"/>
        <v>976</v>
      </c>
      <c r="C854" s="36" t="s">
        <v>989</v>
      </c>
      <c r="D854" s="53">
        <v>1010</v>
      </c>
      <c r="E854" s="53" t="s">
        <v>833</v>
      </c>
      <c r="F854" s="53" t="s">
        <v>11</v>
      </c>
      <c r="G854" s="54">
        <v>45165</v>
      </c>
      <c r="H854" s="53">
        <v>1055</v>
      </c>
      <c r="I854" s="53">
        <v>976</v>
      </c>
      <c r="J854" s="39" t="s">
        <v>33</v>
      </c>
      <c r="K854" s="39" t="s">
        <v>1087</v>
      </c>
      <c r="L854" s="39"/>
      <c r="M854" s="37">
        <v>45401</v>
      </c>
      <c r="N854" s="39">
        <v>6.8</v>
      </c>
      <c r="O854" s="40">
        <v>1646</v>
      </c>
    </row>
    <row r="855" spans="1:16" x14ac:dyDescent="0.55000000000000004">
      <c r="A855" s="24" t="str">
        <f>IF(COUNTIF(B855:$B$5014,B855)&gt;1,IF(COUNTIF($B$5:B855,B855)&gt;1,"",B855&amp;"-I"),B855)</f>
        <v/>
      </c>
      <c r="B855" s="29">
        <f t="shared" si="14"/>
        <v>1037</v>
      </c>
      <c r="C855" s="36" t="s">
        <v>990</v>
      </c>
      <c r="D855" s="53">
        <v>1011</v>
      </c>
      <c r="E855" s="53" t="s">
        <v>833</v>
      </c>
      <c r="F855" s="53" t="s">
        <v>12</v>
      </c>
      <c r="G855" s="54">
        <v>45173</v>
      </c>
      <c r="H855" s="53">
        <v>1055</v>
      </c>
      <c r="I855" s="53">
        <v>1037</v>
      </c>
      <c r="J855" s="39" t="s">
        <v>33</v>
      </c>
      <c r="K855" s="39" t="s">
        <v>1087</v>
      </c>
      <c r="L855" s="39"/>
      <c r="M855" s="37">
        <v>45522</v>
      </c>
      <c r="N855" s="39">
        <v>6.1</v>
      </c>
      <c r="O855" s="40">
        <v>1367</v>
      </c>
    </row>
    <row r="856" spans="1:16" x14ac:dyDescent="0.55000000000000004">
      <c r="A856" s="24">
        <f>IF(COUNTIF(B856:$B$5014,B856)&gt;1,IF(COUNTIF($B$5:B856,B856)&gt;1,"",B856&amp;"-I"),B856)</f>
        <v>933</v>
      </c>
      <c r="B856" s="29">
        <f t="shared" si="14"/>
        <v>933</v>
      </c>
      <c r="C856" s="36" t="s">
        <v>991</v>
      </c>
      <c r="D856" s="53">
        <v>1012</v>
      </c>
      <c r="E856" s="53" t="s">
        <v>833</v>
      </c>
      <c r="F856" s="53" t="s">
        <v>12</v>
      </c>
      <c r="G856" s="54">
        <v>45174</v>
      </c>
      <c r="H856" s="53">
        <v>1055</v>
      </c>
      <c r="I856" s="53">
        <v>933</v>
      </c>
      <c r="J856" s="39" t="s">
        <v>33</v>
      </c>
      <c r="K856" s="39" t="s">
        <v>1087</v>
      </c>
      <c r="L856" s="39"/>
      <c r="M856" s="37">
        <v>45522</v>
      </c>
      <c r="N856" s="39">
        <v>6.1</v>
      </c>
      <c r="O856" s="40">
        <v>1367</v>
      </c>
    </row>
    <row r="857" spans="1:16" x14ac:dyDescent="0.55000000000000004">
      <c r="A857" s="24" t="str">
        <f>IF(COUNTIF(B857:$B$5014,B857)&gt;1,IF(COUNTIF($B$5:B857,B857)&gt;1,"",B857&amp;"-I"),B857)</f>
        <v/>
      </c>
      <c r="B857" s="29">
        <f t="shared" si="14"/>
        <v>893</v>
      </c>
      <c r="C857" s="36" t="s">
        <v>992</v>
      </c>
      <c r="D857" s="53">
        <v>1013</v>
      </c>
      <c r="E857" s="53" t="s">
        <v>833</v>
      </c>
      <c r="F857" s="53" t="s">
        <v>11</v>
      </c>
      <c r="G857" s="54">
        <v>45180</v>
      </c>
      <c r="H857" s="53">
        <v>1055</v>
      </c>
      <c r="I857" s="53">
        <v>893</v>
      </c>
      <c r="J857" s="39" t="s">
        <v>33</v>
      </c>
      <c r="K857" s="39" t="s">
        <v>1087</v>
      </c>
      <c r="L857" s="39"/>
      <c r="M857" s="37">
        <v>45401</v>
      </c>
      <c r="N857" s="39">
        <v>6.8</v>
      </c>
      <c r="O857" s="40">
        <v>1646</v>
      </c>
    </row>
    <row r="858" spans="1:16" x14ac:dyDescent="0.55000000000000004">
      <c r="A858" s="24" t="str">
        <f>IF(COUNTIF(B858:$B$5014,B858)&gt;1,IF(COUNTIF($B$5:B858,B858)&gt;1,"",B858&amp;"-I"),B858)</f>
        <v/>
      </c>
      <c r="B858" s="29">
        <f t="shared" si="14"/>
        <v>964</v>
      </c>
      <c r="C858" s="36" t="s">
        <v>993</v>
      </c>
      <c r="D858" s="53">
        <v>1014</v>
      </c>
      <c r="E858" s="53" t="s">
        <v>834</v>
      </c>
      <c r="F858" s="53" t="s">
        <v>11</v>
      </c>
      <c r="G858" s="54">
        <v>45184</v>
      </c>
      <c r="H858" s="53">
        <v>1055</v>
      </c>
      <c r="I858" s="53">
        <v>964</v>
      </c>
      <c r="J858" s="39" t="s">
        <v>33</v>
      </c>
      <c r="K858" s="39" t="s">
        <v>1087</v>
      </c>
      <c r="L858" s="39"/>
      <c r="M858" s="37">
        <v>45522</v>
      </c>
      <c r="N858" s="39">
        <v>6.1</v>
      </c>
      <c r="O858" s="40">
        <v>1367</v>
      </c>
    </row>
    <row r="859" spans="1:16" x14ac:dyDescent="0.55000000000000004">
      <c r="A859" s="24" t="str">
        <f>IF(COUNTIF(B859:$B$5014,B859)&gt;1,IF(COUNTIF($B$5:B859,B859)&gt;1,"",B859&amp;"-I"),B859)</f>
        <v/>
      </c>
      <c r="B859" s="29">
        <f t="shared" si="14"/>
        <v>1011</v>
      </c>
      <c r="C859" s="36" t="s">
        <v>994</v>
      </c>
      <c r="D859" s="53">
        <v>1015</v>
      </c>
      <c r="E859" s="53" t="s">
        <v>834</v>
      </c>
      <c r="F859" s="53" t="s">
        <v>11</v>
      </c>
      <c r="G859" s="54">
        <v>45185</v>
      </c>
      <c r="H859" s="53">
        <v>1055</v>
      </c>
      <c r="I859" s="53">
        <v>1011</v>
      </c>
      <c r="J859" s="37" t="s">
        <v>33</v>
      </c>
      <c r="K859" s="39" t="s">
        <v>1087</v>
      </c>
      <c r="L859" s="39"/>
      <c r="M859" s="37">
        <v>45522</v>
      </c>
      <c r="N859" s="39">
        <v>6.1</v>
      </c>
      <c r="O859" s="40">
        <v>1367</v>
      </c>
    </row>
    <row r="860" spans="1:16" x14ac:dyDescent="0.55000000000000004">
      <c r="A860" s="24" t="str">
        <f>IF(COUNTIF(B860:$B$5014,B860)&gt;1,IF(COUNTIF($B$5:B860,B860)&gt;1,"",B860&amp;"-I"),B860)</f>
        <v/>
      </c>
      <c r="B860" s="29">
        <f t="shared" ref="B860:B864" si="15">+I860</f>
        <v>974</v>
      </c>
      <c r="C860" s="36" t="s">
        <v>995</v>
      </c>
      <c r="D860" s="53">
        <v>1016</v>
      </c>
      <c r="E860" s="53" t="s">
        <v>833</v>
      </c>
      <c r="F860" s="53" t="s">
        <v>11</v>
      </c>
      <c r="G860" s="54">
        <v>45185</v>
      </c>
      <c r="H860" s="53">
        <v>1055</v>
      </c>
      <c r="I860" s="53">
        <v>974</v>
      </c>
      <c r="J860" s="39" t="s">
        <v>33</v>
      </c>
      <c r="K860" s="39" t="s">
        <v>1087</v>
      </c>
      <c r="L860" s="39"/>
      <c r="M860" s="37">
        <v>45522</v>
      </c>
      <c r="N860" s="39">
        <v>6.1</v>
      </c>
      <c r="O860" s="40">
        <v>1367</v>
      </c>
    </row>
    <row r="861" spans="1:16" x14ac:dyDescent="0.55000000000000004">
      <c r="A861" s="24">
        <f>IF(COUNTIF(B861:$B$5014,B861)&gt;1,IF(COUNTIF($B$5:B861,B861)&gt;1,"",B861&amp;"-I"),B861)</f>
        <v>865</v>
      </c>
      <c r="B861" s="29">
        <f t="shared" si="15"/>
        <v>865</v>
      </c>
      <c r="C861" s="36" t="s">
        <v>996</v>
      </c>
      <c r="D861" s="53">
        <v>1017</v>
      </c>
      <c r="E861" s="53" t="s">
        <v>834</v>
      </c>
      <c r="F861" s="53" t="s">
        <v>11</v>
      </c>
      <c r="G861" s="54">
        <v>45196</v>
      </c>
      <c r="H861" s="53">
        <v>1055</v>
      </c>
      <c r="I861" s="53">
        <v>865</v>
      </c>
      <c r="J861" s="39" t="s">
        <v>33</v>
      </c>
      <c r="K861" s="39" t="s">
        <v>1159</v>
      </c>
      <c r="L861" s="39"/>
      <c r="M861" s="37">
        <v>45199</v>
      </c>
      <c r="N861" s="39">
        <v>2.5</v>
      </c>
      <c r="O861" s="40">
        <v>400</v>
      </c>
    </row>
    <row r="862" spans="1:16" x14ac:dyDescent="0.55000000000000004">
      <c r="A862" s="24" t="str">
        <f>IF(COUNTIF(B862:$B$5014,B862)&gt;1,IF(COUNTIF($B$5:B862,B862)&gt;1,"",B862&amp;"-I"),B862)</f>
        <v/>
      </c>
      <c r="B862" s="29">
        <f t="shared" si="15"/>
        <v>981</v>
      </c>
      <c r="C862" s="36" t="s">
        <v>997</v>
      </c>
      <c r="D862" s="53">
        <v>1018</v>
      </c>
      <c r="E862" s="53" t="s">
        <v>833</v>
      </c>
      <c r="F862" s="53" t="s">
        <v>12</v>
      </c>
      <c r="G862" s="54">
        <v>45207</v>
      </c>
      <c r="H862" s="53">
        <v>1055</v>
      </c>
      <c r="I862" s="53">
        <v>981</v>
      </c>
      <c r="J862" s="39" t="s">
        <v>33</v>
      </c>
      <c r="K862" s="39" t="s">
        <v>1087</v>
      </c>
      <c r="L862" s="39"/>
      <c r="M862" s="37">
        <v>45522</v>
      </c>
      <c r="N862" s="39">
        <v>6.01</v>
      </c>
      <c r="O862" s="40">
        <v>1367</v>
      </c>
      <c r="P862" s="24" t="s">
        <v>914</v>
      </c>
    </row>
    <row r="863" spans="1:16" x14ac:dyDescent="0.55000000000000004">
      <c r="A863" s="24" t="str">
        <f>IF(COUNTIF(B863:$B$5014,B863)&gt;1,IF(COUNTIF($B$5:B863,B863)&gt;1,"",B863&amp;"-I"),B863)</f>
        <v/>
      </c>
      <c r="B863" s="29">
        <f t="shared" si="15"/>
        <v>926</v>
      </c>
      <c r="C863" s="36" t="s">
        <v>998</v>
      </c>
      <c r="D863" s="53">
        <v>1019</v>
      </c>
      <c r="E863" s="53" t="s">
        <v>833</v>
      </c>
      <c r="F863" s="53" t="s">
        <v>12</v>
      </c>
      <c r="G863" s="54">
        <v>45207</v>
      </c>
      <c r="H863" s="53">
        <v>1055</v>
      </c>
      <c r="I863" s="53">
        <v>926</v>
      </c>
      <c r="J863" s="39" t="s">
        <v>33</v>
      </c>
      <c r="K863" s="39" t="s">
        <v>1087</v>
      </c>
      <c r="L863" s="39"/>
      <c r="M863" s="37">
        <v>45522</v>
      </c>
      <c r="N863" s="39">
        <v>6.1</v>
      </c>
      <c r="O863" s="40">
        <v>1367</v>
      </c>
    </row>
    <row r="864" spans="1:16" x14ac:dyDescent="0.55000000000000004">
      <c r="A864" s="24" t="str">
        <f>IF(COUNTIF(B864:$B$5014,B864)&gt;1,IF(COUNTIF($B$5:B864,B864)&gt;1,"",B864&amp;"-I"),B864)</f>
        <v>1020-I</v>
      </c>
      <c r="B864" s="29">
        <f t="shared" si="15"/>
        <v>1020</v>
      </c>
      <c r="C864" s="36" t="s">
        <v>999</v>
      </c>
      <c r="D864" s="53">
        <v>1020</v>
      </c>
      <c r="E864" s="53" t="s">
        <v>833</v>
      </c>
      <c r="F864" s="53" t="s">
        <v>12</v>
      </c>
      <c r="G864" s="54">
        <v>45216</v>
      </c>
      <c r="H864" s="53">
        <v>1055</v>
      </c>
      <c r="I864" s="53">
        <v>1020</v>
      </c>
      <c r="J864" s="39" t="s">
        <v>33</v>
      </c>
      <c r="K864" s="39" t="s">
        <v>1087</v>
      </c>
      <c r="L864" s="39"/>
      <c r="M864" s="37">
        <v>45522</v>
      </c>
      <c r="N864" s="39">
        <v>6.1</v>
      </c>
      <c r="O864" s="40">
        <v>1367</v>
      </c>
    </row>
    <row r="865" spans="1:16" x14ac:dyDescent="0.55000000000000004">
      <c r="A865" s="24" t="str">
        <f>IF(COUNTIF(B865:$B$5014,B865)&gt;1,IF(COUNTIF($B$5:B865,B865)&gt;1,"",B865&amp;"-I"),B865)</f>
        <v/>
      </c>
      <c r="B865" s="29">
        <f t="shared" ref="B865:B914" si="16">+I865</f>
        <v>860</v>
      </c>
      <c r="C865" s="36" t="s">
        <v>1000</v>
      </c>
      <c r="D865" s="53">
        <v>1021</v>
      </c>
      <c r="E865" s="53" t="s">
        <v>833</v>
      </c>
      <c r="F865" s="53" t="s">
        <v>11</v>
      </c>
      <c r="G865" s="54">
        <v>45221</v>
      </c>
      <c r="H865" s="53">
        <v>978</v>
      </c>
      <c r="I865" s="53">
        <v>860</v>
      </c>
      <c r="J865" s="39" t="s">
        <v>33</v>
      </c>
      <c r="K865" s="39" t="s">
        <v>1087</v>
      </c>
      <c r="L865" s="39"/>
      <c r="M865" s="37">
        <v>45522</v>
      </c>
      <c r="N865" s="39">
        <v>6.1</v>
      </c>
      <c r="O865" s="40">
        <v>1367</v>
      </c>
    </row>
    <row r="866" spans="1:16" x14ac:dyDescent="0.55000000000000004">
      <c r="A866" s="24" t="str">
        <f>IF(COUNTIF(B866:$B$5014,B866)&gt;1,IF(COUNTIF($B$5:B866,B866)&gt;1,"",B866&amp;"-I"),B866)</f>
        <v/>
      </c>
      <c r="B866" s="29">
        <f t="shared" si="16"/>
        <v>978</v>
      </c>
      <c r="C866" s="36" t="s">
        <v>1001</v>
      </c>
      <c r="D866" s="53">
        <v>1022</v>
      </c>
      <c r="E866" s="53" t="s">
        <v>833</v>
      </c>
      <c r="F866" s="53" t="s">
        <v>12</v>
      </c>
      <c r="G866" s="54">
        <v>45225</v>
      </c>
      <c r="H866" s="53">
        <v>1055</v>
      </c>
      <c r="I866" s="53">
        <v>978</v>
      </c>
      <c r="J866" s="39" t="s">
        <v>33</v>
      </c>
      <c r="K866" s="39" t="s">
        <v>1087</v>
      </c>
      <c r="L866" s="39"/>
      <c r="M866" s="37">
        <v>45522</v>
      </c>
      <c r="N866" s="39">
        <v>6.1</v>
      </c>
      <c r="O866" s="40">
        <v>1367</v>
      </c>
    </row>
    <row r="867" spans="1:16" x14ac:dyDescent="0.55000000000000004">
      <c r="A867" s="24" t="str">
        <f>IF(COUNTIF(B867:$B$5014,B867)&gt;1,IF(COUNTIF($B$5:B867,B867)&gt;1,"",B867&amp;"-I"),B867)</f>
        <v/>
      </c>
      <c r="B867" s="29">
        <f t="shared" si="16"/>
        <v>1009</v>
      </c>
      <c r="C867" s="36" t="s">
        <v>1002</v>
      </c>
      <c r="D867" s="53">
        <v>1023</v>
      </c>
      <c r="E867" s="53" t="s">
        <v>833</v>
      </c>
      <c r="F867" s="53" t="s">
        <v>11</v>
      </c>
      <c r="G867" s="54">
        <v>45228</v>
      </c>
      <c r="H867" s="53">
        <v>1043</v>
      </c>
      <c r="I867" s="53">
        <v>1009</v>
      </c>
      <c r="J867" s="39" t="s">
        <v>33</v>
      </c>
      <c r="K867" s="39" t="s">
        <v>1087</v>
      </c>
      <c r="L867" s="39"/>
      <c r="M867" s="37">
        <v>45522</v>
      </c>
      <c r="N867" s="39">
        <v>6.1</v>
      </c>
      <c r="O867" s="40">
        <v>1367</v>
      </c>
    </row>
    <row r="868" spans="1:16" x14ac:dyDescent="0.55000000000000004">
      <c r="A868" s="24" t="str">
        <f>IF(COUNTIF(B868:$B$5014,B868)&gt;1,IF(COUNTIF($B$5:B868,B868)&gt;1,"",B868&amp;"-I"),B868)</f>
        <v/>
      </c>
      <c r="B868" s="29">
        <f t="shared" si="16"/>
        <v>956</v>
      </c>
      <c r="C868" s="36" t="s">
        <v>1003</v>
      </c>
      <c r="D868" s="53">
        <v>1024</v>
      </c>
      <c r="E868" s="53" t="s">
        <v>833</v>
      </c>
      <c r="F868" s="53" t="s">
        <v>11</v>
      </c>
      <c r="G868" s="54">
        <v>45232</v>
      </c>
      <c r="H868" s="53">
        <v>1043</v>
      </c>
      <c r="I868" s="53">
        <v>956</v>
      </c>
      <c r="J868" s="39" t="s">
        <v>33</v>
      </c>
      <c r="K868" s="39" t="s">
        <v>1087</v>
      </c>
      <c r="L868" s="39"/>
      <c r="M868" s="37">
        <v>45522</v>
      </c>
      <c r="N868" s="39">
        <v>6.1</v>
      </c>
      <c r="O868" s="40">
        <v>1367</v>
      </c>
    </row>
    <row r="869" spans="1:16" x14ac:dyDescent="0.55000000000000004">
      <c r="A869" s="24" t="str">
        <f>IF(COUNTIF(B869:$B$5014,B869)&gt;1,IF(COUNTIF($B$5:B869,B869)&gt;1,"",B869&amp;"-I"),B869)</f>
        <v/>
      </c>
      <c r="B869" s="29">
        <f t="shared" si="16"/>
        <v>1031</v>
      </c>
      <c r="C869" s="36" t="s">
        <v>1004</v>
      </c>
      <c r="D869" s="53">
        <v>1025</v>
      </c>
      <c r="E869" s="53" t="s">
        <v>833</v>
      </c>
      <c r="F869" s="53" t="s">
        <v>12</v>
      </c>
      <c r="G869" s="54">
        <v>45265</v>
      </c>
      <c r="H869" s="53">
        <v>1055</v>
      </c>
      <c r="I869" s="53">
        <v>1031</v>
      </c>
      <c r="J869" s="39" t="s">
        <v>33</v>
      </c>
      <c r="K869" s="39" t="s">
        <v>1087</v>
      </c>
      <c r="L869" s="39"/>
      <c r="M869" s="37">
        <v>45522</v>
      </c>
      <c r="N869" s="39">
        <v>6.1</v>
      </c>
      <c r="O869" s="40">
        <v>1367</v>
      </c>
    </row>
    <row r="870" spans="1:16" x14ac:dyDescent="0.55000000000000004">
      <c r="A870" s="24" t="str">
        <f>IF(COUNTIF(B870:$B$5014,B870)&gt;1,IF(COUNTIF($B$5:B870,B870)&gt;1,"",B870&amp;"-I"),B870)</f>
        <v/>
      </c>
      <c r="B870" s="29">
        <f t="shared" si="16"/>
        <v>1038</v>
      </c>
      <c r="C870" s="36" t="s">
        <v>1005</v>
      </c>
      <c r="D870" s="53">
        <v>1026</v>
      </c>
      <c r="E870" s="53" t="s">
        <v>833</v>
      </c>
      <c r="F870" s="53" t="s">
        <v>12</v>
      </c>
      <c r="G870" s="54">
        <v>45281</v>
      </c>
      <c r="H870" s="53">
        <v>1055</v>
      </c>
      <c r="I870" s="53">
        <v>1038</v>
      </c>
      <c r="J870" s="39" t="s">
        <v>33</v>
      </c>
      <c r="K870" s="39" t="s">
        <v>1087</v>
      </c>
      <c r="L870" s="39"/>
      <c r="M870" s="37">
        <v>45522</v>
      </c>
      <c r="N870" s="39">
        <v>6.1</v>
      </c>
      <c r="O870" s="40">
        <v>1367</v>
      </c>
    </row>
    <row r="871" spans="1:16" x14ac:dyDescent="0.55000000000000004">
      <c r="A871" s="24">
        <f>IF(COUNTIF(B871:$B$5014,B871)&gt;1,IF(COUNTIF($B$5:B871,B871)&gt;1,"",B871&amp;"-I"),B871)</f>
        <v>947</v>
      </c>
      <c r="B871" s="29">
        <f t="shared" si="16"/>
        <v>947</v>
      </c>
      <c r="C871" s="36" t="s">
        <v>1006</v>
      </c>
      <c r="D871" s="53">
        <v>1027</v>
      </c>
      <c r="E871" s="53" t="s">
        <v>834</v>
      </c>
      <c r="F871" s="53" t="s">
        <v>11</v>
      </c>
      <c r="G871" s="54">
        <v>45289</v>
      </c>
      <c r="H871" s="53">
        <v>1055</v>
      </c>
      <c r="I871" s="53">
        <v>947</v>
      </c>
      <c r="J871" s="39" t="s">
        <v>33</v>
      </c>
      <c r="K871" s="39" t="s">
        <v>1159</v>
      </c>
      <c r="L871" s="39"/>
      <c r="M871" s="37">
        <v>45373</v>
      </c>
      <c r="N871" s="39">
        <v>1.5</v>
      </c>
      <c r="O871" s="40">
        <v>400</v>
      </c>
    </row>
    <row r="872" spans="1:16" x14ac:dyDescent="0.55000000000000004">
      <c r="A872" s="24" t="str">
        <f>IF(COUNTIF(B872:$B$5014,B872)&gt;1,IF(COUNTIF($B$5:B872,B872)&gt;1,"",B872&amp;"-I"),B872)</f>
        <v/>
      </c>
      <c r="B872" s="29">
        <f t="shared" si="16"/>
        <v>988</v>
      </c>
      <c r="C872" s="36" t="s">
        <v>1007</v>
      </c>
      <c r="D872" s="53">
        <v>1028</v>
      </c>
      <c r="E872" s="53" t="s">
        <v>833</v>
      </c>
      <c r="F872" s="53" t="s">
        <v>12</v>
      </c>
      <c r="G872" s="54">
        <v>45289</v>
      </c>
      <c r="H872" s="53">
        <v>1055</v>
      </c>
      <c r="I872" s="53">
        <v>988</v>
      </c>
      <c r="J872" s="39" t="s">
        <v>33</v>
      </c>
      <c r="K872" s="39" t="s">
        <v>1087</v>
      </c>
      <c r="L872" s="39"/>
      <c r="M872" s="37">
        <v>45522</v>
      </c>
      <c r="N872" s="39">
        <v>6.1</v>
      </c>
      <c r="O872" s="40">
        <v>1367</v>
      </c>
      <c r="P872" s="100" t="s">
        <v>913</v>
      </c>
    </row>
    <row r="873" spans="1:16" x14ac:dyDescent="0.55000000000000004">
      <c r="A873" s="24" t="str">
        <f>IF(COUNTIF(B873:$B$5014,B873)&gt;1,IF(COUNTIF($B$5:B873,B873)&gt;1,"",B873&amp;"-I"),B873)</f>
        <v/>
      </c>
      <c r="B873" s="29">
        <f t="shared" si="16"/>
        <v>984</v>
      </c>
      <c r="C873" s="36" t="s">
        <v>1008</v>
      </c>
      <c r="D873" s="53">
        <v>1029</v>
      </c>
      <c r="E873" s="53" t="s">
        <v>834</v>
      </c>
      <c r="F873" s="53" t="s">
        <v>12</v>
      </c>
      <c r="G873" s="54">
        <v>45295</v>
      </c>
      <c r="H873" s="53">
        <v>1043</v>
      </c>
      <c r="I873" s="53">
        <v>984</v>
      </c>
      <c r="J873" s="39" t="s">
        <v>33</v>
      </c>
      <c r="K873" s="39" t="s">
        <v>1087</v>
      </c>
      <c r="L873" s="39"/>
      <c r="M873" s="37">
        <v>45597</v>
      </c>
      <c r="N873" s="39">
        <v>5.2</v>
      </c>
      <c r="O873" s="40">
        <v>1579</v>
      </c>
      <c r="P873" s="24" t="s">
        <v>914</v>
      </c>
    </row>
    <row r="874" spans="1:16" x14ac:dyDescent="0.55000000000000004">
      <c r="A874" s="24" t="str">
        <f>IF(COUNTIF(B874:$B$5014,B874)&gt;1,IF(COUNTIF($B$5:B874,B874)&gt;1,"",B874&amp;"-I"),B874)</f>
        <v/>
      </c>
      <c r="B874" s="29">
        <f t="shared" si="16"/>
        <v>985</v>
      </c>
      <c r="C874" s="36" t="s">
        <v>1009</v>
      </c>
      <c r="D874" s="53">
        <v>1030</v>
      </c>
      <c r="E874" s="53" t="s">
        <v>833</v>
      </c>
      <c r="F874" s="53" t="s">
        <v>11</v>
      </c>
      <c r="G874" s="54">
        <v>45302</v>
      </c>
      <c r="H874" s="53">
        <v>1043</v>
      </c>
      <c r="I874" s="53">
        <v>985</v>
      </c>
      <c r="J874" s="39" t="s">
        <v>33</v>
      </c>
      <c r="K874" s="39" t="s">
        <v>1087</v>
      </c>
      <c r="L874" s="39"/>
      <c r="M874" s="37">
        <v>45522</v>
      </c>
      <c r="N874" s="39">
        <v>6.1</v>
      </c>
      <c r="O874" s="40">
        <v>1367</v>
      </c>
    </row>
    <row r="875" spans="1:16" x14ac:dyDescent="0.55000000000000004">
      <c r="A875" s="24" t="str">
        <f>IF(COUNTIF(B875:$B$5014,B875)&gt;1,IF(COUNTIF($B$5:B875,B875)&gt;1,"",B875&amp;"-I"),B875)</f>
        <v/>
      </c>
      <c r="B875" s="29">
        <f t="shared" si="16"/>
        <v>993</v>
      </c>
      <c r="C875" s="36" t="s">
        <v>1010</v>
      </c>
      <c r="D875" s="53">
        <v>1031</v>
      </c>
      <c r="E875" s="53" t="s">
        <v>833</v>
      </c>
      <c r="F875" s="53" t="s">
        <v>12</v>
      </c>
      <c r="G875" s="54">
        <v>45308</v>
      </c>
      <c r="H875" s="53">
        <v>1055</v>
      </c>
      <c r="I875" s="53">
        <v>993</v>
      </c>
      <c r="J875" s="39" t="s">
        <v>33</v>
      </c>
      <c r="K875" s="39" t="s">
        <v>1087</v>
      </c>
      <c r="L875" s="39"/>
      <c r="M875" s="37">
        <v>45597</v>
      </c>
      <c r="N875" s="39">
        <v>5.2</v>
      </c>
      <c r="O875" s="40">
        <v>1579</v>
      </c>
    </row>
    <row r="876" spans="1:16" x14ac:dyDescent="0.55000000000000004">
      <c r="A876" s="24" t="str">
        <f>IF(COUNTIF(B876:$B$5014,B876)&gt;1,IF(COUNTIF($B$5:B876,B876)&gt;1,"",B876&amp;"-I"),B876)</f>
        <v/>
      </c>
      <c r="B876" s="29">
        <f t="shared" si="16"/>
        <v>967</v>
      </c>
      <c r="C876" s="36" t="s">
        <v>1011</v>
      </c>
      <c r="D876" s="53">
        <v>1032</v>
      </c>
      <c r="E876" s="53" t="s">
        <v>834</v>
      </c>
      <c r="F876" s="53" t="s">
        <v>11</v>
      </c>
      <c r="G876" s="54">
        <v>45312</v>
      </c>
      <c r="H876" s="53">
        <v>1055</v>
      </c>
      <c r="I876" s="53">
        <v>967</v>
      </c>
      <c r="J876" s="39" t="s">
        <v>33</v>
      </c>
      <c r="K876" s="39" t="s">
        <v>1087</v>
      </c>
      <c r="L876" s="39"/>
      <c r="M876" s="37">
        <v>45522</v>
      </c>
      <c r="N876" s="39">
        <v>6.1</v>
      </c>
      <c r="O876" s="40">
        <v>1367</v>
      </c>
    </row>
    <row r="877" spans="1:16" x14ac:dyDescent="0.55000000000000004">
      <c r="A877" s="24" t="str">
        <f>IF(COUNTIF(B877:$B$5014,B877)&gt;1,IF(COUNTIF($B$5:B877,B877)&gt;1,"",B877&amp;"-I"),B877)</f>
        <v/>
      </c>
      <c r="B877" s="29">
        <f t="shared" si="16"/>
        <v>959</v>
      </c>
      <c r="C877" s="36" t="s">
        <v>1012</v>
      </c>
      <c r="D877" s="53">
        <v>1033</v>
      </c>
      <c r="E877" s="53" t="s">
        <v>833</v>
      </c>
      <c r="F877" s="53" t="s">
        <v>12</v>
      </c>
      <c r="G877" s="54">
        <v>45318</v>
      </c>
      <c r="H877" s="53">
        <v>1055</v>
      </c>
      <c r="I877" s="53">
        <v>959</v>
      </c>
      <c r="J877" s="39" t="s">
        <v>33</v>
      </c>
      <c r="K877" s="39" t="s">
        <v>1087</v>
      </c>
      <c r="L877" s="39"/>
      <c r="M877" s="37">
        <v>45597</v>
      </c>
      <c r="N877" s="39">
        <v>5.2</v>
      </c>
      <c r="O877" s="40">
        <v>1579</v>
      </c>
    </row>
    <row r="878" spans="1:16" x14ac:dyDescent="0.55000000000000004">
      <c r="A878" s="24" t="str">
        <f>IF(COUNTIF(B878:$B$5014,B878)&gt;1,IF(COUNTIF($B$5:B878,B878)&gt;1,"",B878&amp;"-I"),B878)</f>
        <v/>
      </c>
      <c r="B878" s="29">
        <f t="shared" si="16"/>
        <v>973</v>
      </c>
      <c r="C878" s="36" t="s">
        <v>1013</v>
      </c>
      <c r="D878" s="53">
        <v>1034</v>
      </c>
      <c r="E878" s="53" t="s">
        <v>834</v>
      </c>
      <c r="F878" s="53" t="s">
        <v>11</v>
      </c>
      <c r="G878" s="54">
        <v>45320</v>
      </c>
      <c r="H878" s="53">
        <v>1055</v>
      </c>
      <c r="I878" s="53">
        <v>973</v>
      </c>
      <c r="J878" s="39" t="s">
        <v>33</v>
      </c>
      <c r="K878" s="39" t="s">
        <v>1087</v>
      </c>
      <c r="L878" s="39"/>
      <c r="M878" s="37">
        <v>45597</v>
      </c>
      <c r="N878" s="39">
        <v>5.2</v>
      </c>
      <c r="O878" s="40">
        <v>1579</v>
      </c>
    </row>
    <row r="879" spans="1:16" x14ac:dyDescent="0.55000000000000004">
      <c r="A879" s="24" t="str">
        <f>IF(COUNTIF(B879:$B$5014,B879)&gt;1,IF(COUNTIF($B$5:B879,B879)&gt;1,"",B879&amp;"-I"),B879)</f>
        <v/>
      </c>
      <c r="B879" s="29">
        <f t="shared" si="16"/>
        <v>930</v>
      </c>
      <c r="C879" s="36" t="s">
        <v>1014</v>
      </c>
      <c r="D879" s="53">
        <v>1035</v>
      </c>
      <c r="E879" s="53" t="s">
        <v>834</v>
      </c>
      <c r="F879" s="53" t="s">
        <v>11</v>
      </c>
      <c r="G879" s="54">
        <v>45329</v>
      </c>
      <c r="H879" s="53">
        <v>1055</v>
      </c>
      <c r="I879" s="53">
        <v>930</v>
      </c>
      <c r="J879" s="39" t="s">
        <v>33</v>
      </c>
      <c r="K879" s="39" t="s">
        <v>1087</v>
      </c>
      <c r="L879" s="39"/>
      <c r="M879" s="37">
        <v>45597</v>
      </c>
      <c r="N879" s="39">
        <v>5.2</v>
      </c>
      <c r="O879" s="40">
        <v>1579</v>
      </c>
    </row>
    <row r="880" spans="1:16" x14ac:dyDescent="0.55000000000000004">
      <c r="A880" s="24">
        <f>IF(COUNTIF(B880:$B$5014,B880)&gt;1,IF(COUNTIF($B$5:B880,B880)&gt;1,"",B880&amp;"-I"),B880)</f>
        <v>859</v>
      </c>
      <c r="B880" s="29">
        <f t="shared" si="16"/>
        <v>859</v>
      </c>
      <c r="C880" s="36" t="s">
        <v>1015</v>
      </c>
      <c r="D880" s="53">
        <v>1036</v>
      </c>
      <c r="E880" s="53" t="s">
        <v>833</v>
      </c>
      <c r="F880" s="53" t="s">
        <v>11</v>
      </c>
      <c r="G880" s="54">
        <v>45335</v>
      </c>
      <c r="H880" s="53">
        <v>1043</v>
      </c>
      <c r="I880" s="53">
        <v>859</v>
      </c>
      <c r="J880" s="39" t="s">
        <v>33</v>
      </c>
      <c r="K880" s="39" t="s">
        <v>1087</v>
      </c>
      <c r="L880" s="39"/>
      <c r="M880" s="37">
        <v>45597</v>
      </c>
      <c r="N880" s="39">
        <v>5.2</v>
      </c>
      <c r="O880" s="40">
        <v>1579</v>
      </c>
    </row>
    <row r="881" spans="1:15" x14ac:dyDescent="0.55000000000000004">
      <c r="A881" s="24" t="str">
        <f>IF(COUNTIF(B881:$B$5014,B881)&gt;1,IF(COUNTIF($B$5:B881,B881)&gt;1,"",B881&amp;"-I"),B881)</f>
        <v/>
      </c>
      <c r="B881" s="29">
        <f t="shared" si="16"/>
        <v>963</v>
      </c>
      <c r="C881" s="36" t="s">
        <v>1016</v>
      </c>
      <c r="D881" s="53">
        <v>1037</v>
      </c>
      <c r="E881" s="53" t="s">
        <v>834</v>
      </c>
      <c r="F881" s="53" t="s">
        <v>11</v>
      </c>
      <c r="G881" s="54">
        <v>45341</v>
      </c>
      <c r="H881" s="53">
        <v>1055</v>
      </c>
      <c r="I881" s="53">
        <v>963</v>
      </c>
      <c r="J881" s="39" t="s">
        <v>33</v>
      </c>
      <c r="K881" s="39" t="s">
        <v>1087</v>
      </c>
      <c r="L881" s="39"/>
      <c r="M881" s="37">
        <v>45597</v>
      </c>
      <c r="N881" s="39">
        <v>5.2</v>
      </c>
      <c r="O881" s="40">
        <v>1579</v>
      </c>
    </row>
    <row r="882" spans="1:15" x14ac:dyDescent="0.55000000000000004">
      <c r="A882" s="24" t="str">
        <f>IF(COUNTIF(B882:$B$5014,B882)&gt;1,IF(COUNTIF($B$5:B882,B882)&gt;1,"",B882&amp;"-I"),B882)</f>
        <v/>
      </c>
      <c r="B882" s="29">
        <f t="shared" si="16"/>
        <v>943</v>
      </c>
      <c r="C882" s="36" t="s">
        <v>1017</v>
      </c>
      <c r="D882" s="72">
        <v>1038</v>
      </c>
      <c r="E882" s="53" t="s">
        <v>833</v>
      </c>
      <c r="F882" s="53" t="s">
        <v>11</v>
      </c>
      <c r="G882" s="54">
        <v>45342</v>
      </c>
      <c r="H882" s="53">
        <v>1043</v>
      </c>
      <c r="I882" s="53">
        <v>943</v>
      </c>
      <c r="J882" s="39" t="s">
        <v>33</v>
      </c>
      <c r="K882" s="47" t="s">
        <v>1157</v>
      </c>
      <c r="L882" s="47" t="s">
        <v>1183</v>
      </c>
      <c r="M882" s="162" t="s">
        <v>1169</v>
      </c>
      <c r="N882" s="161"/>
      <c r="O882" s="163"/>
    </row>
    <row r="883" spans="1:15" x14ac:dyDescent="0.55000000000000004">
      <c r="A883" s="24" t="str">
        <f>IF(COUNTIF(B883:$B$5014,B883)&gt;1,IF(COUNTIF($B$5:B883,B883)&gt;1,"",B883&amp;"-I"),B883)</f>
        <v/>
      </c>
      <c r="B883" s="29">
        <f t="shared" si="16"/>
        <v>980</v>
      </c>
      <c r="C883" s="36" t="s">
        <v>1018</v>
      </c>
      <c r="D883" s="53">
        <v>1039</v>
      </c>
      <c r="E883" s="53" t="s">
        <v>833</v>
      </c>
      <c r="F883" s="53" t="s">
        <v>12</v>
      </c>
      <c r="G883" s="54">
        <v>45357</v>
      </c>
      <c r="H883" s="53">
        <v>1055</v>
      </c>
      <c r="I883" s="53">
        <v>980</v>
      </c>
      <c r="J883" s="39" t="s">
        <v>33</v>
      </c>
      <c r="K883" s="39" t="s">
        <v>1087</v>
      </c>
      <c r="L883" s="39"/>
      <c r="M883" s="37">
        <v>45597</v>
      </c>
      <c r="N883" s="39">
        <v>5.2</v>
      </c>
      <c r="O883" s="40">
        <v>1579</v>
      </c>
    </row>
    <row r="884" spans="1:15" x14ac:dyDescent="0.55000000000000004">
      <c r="A884" s="24" t="str">
        <f>IF(COUNTIF(B884:$B$5014,B884)&gt;1,IF(COUNTIF($B$5:B884,B884)&gt;1,"",B884&amp;"-I"),B884)</f>
        <v/>
      </c>
      <c r="B884" s="29">
        <f t="shared" si="16"/>
        <v>1012</v>
      </c>
      <c r="C884" s="36" t="s">
        <v>1019</v>
      </c>
      <c r="D884" s="53">
        <v>1040</v>
      </c>
      <c r="E884" s="53" t="s">
        <v>833</v>
      </c>
      <c r="F884" s="53" t="s">
        <v>11</v>
      </c>
      <c r="G884" s="54">
        <v>45358</v>
      </c>
      <c r="H884" s="53">
        <v>1055</v>
      </c>
      <c r="I884" s="53">
        <v>1012</v>
      </c>
      <c r="J884" s="39" t="s">
        <v>33</v>
      </c>
      <c r="K884" s="39" t="s">
        <v>1087</v>
      </c>
      <c r="L884" s="39"/>
      <c r="M884" s="37">
        <v>45597</v>
      </c>
      <c r="N884" s="39">
        <v>5.2</v>
      </c>
      <c r="O884" s="40">
        <v>1579</v>
      </c>
    </row>
    <row r="885" spans="1:15" x14ac:dyDescent="0.55000000000000004">
      <c r="A885" s="24" t="str">
        <f>IF(COUNTIF(B885:$B$5014,B885)&gt;1,IF(COUNTIF($B$5:B885,B885)&gt;1,"",B885&amp;"-I"),B885)</f>
        <v/>
      </c>
      <c r="B885" s="29">
        <f t="shared" si="16"/>
        <v>957</v>
      </c>
      <c r="C885" s="36" t="s">
        <v>1020</v>
      </c>
      <c r="D885" s="53">
        <v>1041</v>
      </c>
      <c r="E885" s="53" t="s">
        <v>833</v>
      </c>
      <c r="F885" s="53" t="s">
        <v>11</v>
      </c>
      <c r="G885" s="54">
        <v>45367</v>
      </c>
      <c r="H885" s="53">
        <v>1043</v>
      </c>
      <c r="I885" s="53">
        <v>957</v>
      </c>
      <c r="J885" s="39" t="s">
        <v>33</v>
      </c>
      <c r="K885" s="39" t="s">
        <v>1087</v>
      </c>
      <c r="L885" s="39"/>
      <c r="M885" s="37">
        <v>45597</v>
      </c>
      <c r="N885" s="39">
        <v>5.2</v>
      </c>
      <c r="O885" s="40">
        <v>1579</v>
      </c>
    </row>
    <row r="886" spans="1:15" x14ac:dyDescent="0.55000000000000004">
      <c r="A886" s="24" t="str">
        <f>IF(COUNTIF(B886:$B$5014,B886)&gt;1,IF(COUNTIF($B$5:B886,B886)&gt;1,"",B886&amp;"-I"),B886)</f>
        <v/>
      </c>
      <c r="B886" s="29">
        <f t="shared" si="16"/>
        <v>1033</v>
      </c>
      <c r="C886" s="36" t="s">
        <v>1021</v>
      </c>
      <c r="D886" s="53">
        <v>1042</v>
      </c>
      <c r="E886" s="53" t="s">
        <v>833</v>
      </c>
      <c r="F886" s="53" t="s">
        <v>11</v>
      </c>
      <c r="G886" s="54">
        <v>45369</v>
      </c>
      <c r="H886" s="53">
        <v>1055</v>
      </c>
      <c r="I886" s="53">
        <v>1033</v>
      </c>
      <c r="J886" s="39" t="s">
        <v>33</v>
      </c>
      <c r="K886" s="39" t="s">
        <v>1087</v>
      </c>
      <c r="L886" s="39"/>
      <c r="M886" s="37">
        <v>45597</v>
      </c>
      <c r="N886" s="39">
        <v>5.2</v>
      </c>
      <c r="O886" s="40">
        <v>1579</v>
      </c>
    </row>
    <row r="887" spans="1:15" x14ac:dyDescent="0.55000000000000004">
      <c r="A887" s="24">
        <f>IF(COUNTIF(B887:$B$5014,B887)&gt;1,IF(COUNTIF($B$5:B887,B887)&gt;1,"",B887&amp;"-I"),B887)</f>
        <v>873</v>
      </c>
      <c r="B887" s="29">
        <f t="shared" si="16"/>
        <v>873</v>
      </c>
      <c r="C887" s="36" t="s">
        <v>1022</v>
      </c>
      <c r="D887" s="72">
        <v>1043</v>
      </c>
      <c r="E887" s="53" t="s">
        <v>833</v>
      </c>
      <c r="F887" s="53" t="s">
        <v>11</v>
      </c>
      <c r="G887" s="54">
        <v>45369</v>
      </c>
      <c r="H887" s="53">
        <v>1055</v>
      </c>
      <c r="I887" s="53">
        <v>873</v>
      </c>
      <c r="J887" s="39" t="s">
        <v>33</v>
      </c>
      <c r="K887" s="39" t="s">
        <v>1087</v>
      </c>
      <c r="L887" s="39"/>
      <c r="M887" s="37">
        <v>45597</v>
      </c>
      <c r="N887" s="39">
        <v>5.2</v>
      </c>
      <c r="O887" s="40">
        <v>1579</v>
      </c>
    </row>
    <row r="888" spans="1:15" x14ac:dyDescent="0.55000000000000004">
      <c r="A888" s="24" t="str">
        <f>IF(COUNTIF(B888:$B$5014,B888)&gt;1,IF(COUNTIF($B$5:B888,B888)&gt;1,"",B888&amp;"-I"),B888)</f>
        <v/>
      </c>
      <c r="B888" s="29">
        <f t="shared" si="16"/>
        <v>1030</v>
      </c>
      <c r="C888" s="36" t="s">
        <v>1023</v>
      </c>
      <c r="D888" s="53">
        <v>1044</v>
      </c>
      <c r="E888" s="53" t="s">
        <v>833</v>
      </c>
      <c r="F888" s="53" t="s">
        <v>11</v>
      </c>
      <c r="G888" s="54">
        <v>45383</v>
      </c>
      <c r="H888" s="53">
        <v>1043</v>
      </c>
      <c r="I888" s="53">
        <v>1030</v>
      </c>
      <c r="J888" s="39" t="s">
        <v>33</v>
      </c>
      <c r="K888" s="39" t="s">
        <v>1087</v>
      </c>
      <c r="L888" s="39"/>
      <c r="M888" s="37">
        <v>45597</v>
      </c>
      <c r="N888" s="39">
        <v>5.2</v>
      </c>
      <c r="O888" s="40">
        <v>1579</v>
      </c>
    </row>
    <row r="889" spans="1:15" x14ac:dyDescent="0.55000000000000004">
      <c r="A889" s="24" t="str">
        <f>IF(COUNTIF(B889:$B$5014,B889)&gt;1,IF(COUNTIF($B$5:B889,B889)&gt;1,"",B889&amp;"-I"),B889)</f>
        <v/>
      </c>
      <c r="B889" s="29">
        <f t="shared" si="16"/>
        <v>958</v>
      </c>
      <c r="C889" s="36" t="s">
        <v>1024</v>
      </c>
      <c r="D889" s="53">
        <v>1045</v>
      </c>
      <c r="E889" s="53" t="s">
        <v>833</v>
      </c>
      <c r="F889" s="53" t="s">
        <v>12</v>
      </c>
      <c r="G889" s="54">
        <v>45389</v>
      </c>
      <c r="H889" s="53">
        <v>1055</v>
      </c>
      <c r="I889" s="53">
        <v>958</v>
      </c>
      <c r="J889" s="39" t="s">
        <v>33</v>
      </c>
      <c r="K889" s="39" t="s">
        <v>1087</v>
      </c>
      <c r="L889" s="39"/>
      <c r="M889" s="37">
        <v>45597</v>
      </c>
      <c r="N889" s="39">
        <v>5.2</v>
      </c>
      <c r="O889" s="40">
        <v>1579</v>
      </c>
    </row>
    <row r="890" spans="1:15" x14ac:dyDescent="0.55000000000000004">
      <c r="A890" s="24">
        <f>IF(COUNTIF(B890:$B$5014,B890)&gt;1,IF(COUNTIF($B$5:B890,B890)&gt;1,"",B890&amp;"-I"),B890)</f>
        <v>931</v>
      </c>
      <c r="B890" s="29">
        <f t="shared" si="16"/>
        <v>931</v>
      </c>
      <c r="C890" s="36" t="s">
        <v>1025</v>
      </c>
      <c r="D890" s="53">
        <v>1046</v>
      </c>
      <c r="E890" s="53" t="s">
        <v>833</v>
      </c>
      <c r="F890" s="53" t="s">
        <v>11</v>
      </c>
      <c r="G890" s="54">
        <v>45393</v>
      </c>
      <c r="H890" s="53">
        <v>1043</v>
      </c>
      <c r="I890" s="53">
        <v>931</v>
      </c>
      <c r="J890" s="39" t="s">
        <v>33</v>
      </c>
      <c r="K890" s="39" t="s">
        <v>1087</v>
      </c>
      <c r="L890" s="39"/>
      <c r="M890" s="37">
        <v>45597</v>
      </c>
      <c r="N890" s="39">
        <v>5.2</v>
      </c>
      <c r="O890" s="40">
        <v>1579</v>
      </c>
    </row>
    <row r="891" spans="1:15" x14ac:dyDescent="0.55000000000000004">
      <c r="A891" s="24" t="str">
        <f>IF(COUNTIF(B891:$B$5014,B891)&gt;1,IF(COUNTIF($B$5:B891,B891)&gt;1,"",B891&amp;"-I"),B891)</f>
        <v/>
      </c>
      <c r="B891" s="29">
        <f t="shared" si="16"/>
        <v>1042</v>
      </c>
      <c r="C891" s="36" t="s">
        <v>1026</v>
      </c>
      <c r="D891" s="53">
        <v>1047</v>
      </c>
      <c r="E891" s="53" t="s">
        <v>833</v>
      </c>
      <c r="F891" s="53" t="s">
        <v>12</v>
      </c>
      <c r="G891" s="54">
        <v>45397</v>
      </c>
      <c r="H891" s="53">
        <v>1043</v>
      </c>
      <c r="I891" s="53">
        <v>1042</v>
      </c>
      <c r="J891" s="39" t="s">
        <v>33</v>
      </c>
      <c r="K891" s="39" t="s">
        <v>1087</v>
      </c>
      <c r="L891" s="39"/>
      <c r="M891" s="37">
        <v>45597</v>
      </c>
      <c r="N891" s="39">
        <v>5.2</v>
      </c>
      <c r="O891" s="40">
        <v>1579</v>
      </c>
    </row>
    <row r="892" spans="1:15" x14ac:dyDescent="0.55000000000000004">
      <c r="A892" s="24" t="str">
        <f>IF(COUNTIF(B892:$B$5014,B892)&gt;1,IF(COUNTIF($B$5:B892,B892)&gt;1,"",B892&amp;"-I"),B892)</f>
        <v/>
      </c>
      <c r="B892" s="29">
        <f t="shared" si="16"/>
        <v>867</v>
      </c>
      <c r="C892" s="36" t="s">
        <v>1027</v>
      </c>
      <c r="D892" s="53">
        <v>1048</v>
      </c>
      <c r="E892" s="53" t="s">
        <v>833</v>
      </c>
      <c r="F892" s="53" t="s">
        <v>12</v>
      </c>
      <c r="G892" s="54">
        <v>45399</v>
      </c>
      <c r="H892" s="53">
        <v>1055</v>
      </c>
      <c r="I892" s="53">
        <v>867</v>
      </c>
      <c r="J892" s="39" t="s">
        <v>33</v>
      </c>
      <c r="K892" s="39" t="s">
        <v>1087</v>
      </c>
      <c r="L892" s="39"/>
      <c r="M892" s="37">
        <v>45597</v>
      </c>
      <c r="N892" s="39">
        <v>5.2</v>
      </c>
      <c r="O892" s="40">
        <v>1579</v>
      </c>
    </row>
    <row r="893" spans="1:15" x14ac:dyDescent="0.55000000000000004">
      <c r="A893" s="24">
        <f>IF(COUNTIF(B893:$B$5014,B893)&gt;1,IF(COUNTIF($B$5:B893,B893)&gt;1,"",B893&amp;"-I"),B893)</f>
        <v>886</v>
      </c>
      <c r="B893" s="29">
        <f t="shared" si="16"/>
        <v>886</v>
      </c>
      <c r="C893" s="36" t="s">
        <v>1028</v>
      </c>
      <c r="D893" s="53">
        <v>1049</v>
      </c>
      <c r="E893" s="53" t="s">
        <v>833</v>
      </c>
      <c r="F893" s="53" t="s">
        <v>11</v>
      </c>
      <c r="G893" s="54">
        <v>45404</v>
      </c>
      <c r="H893" s="53">
        <v>1043</v>
      </c>
      <c r="I893" s="53">
        <v>886</v>
      </c>
      <c r="J893" s="39" t="s">
        <v>33</v>
      </c>
      <c r="K893" s="39" t="s">
        <v>1152</v>
      </c>
      <c r="L893" s="39"/>
      <c r="M893" s="37">
        <v>45933</v>
      </c>
      <c r="N893" s="39">
        <v>7.2</v>
      </c>
      <c r="O893" s="40">
        <v>2397</v>
      </c>
    </row>
    <row r="894" spans="1:15" x14ac:dyDescent="0.55000000000000004">
      <c r="A894" s="24" t="str">
        <f>IF(COUNTIF(B894:$B$5014,B894)&gt;1,IF(COUNTIF($B$5:B894,B894)&gt;1,"",B894&amp;"-I"),B894)</f>
        <v/>
      </c>
      <c r="B894" s="29">
        <f t="shared" si="16"/>
        <v>934</v>
      </c>
      <c r="C894" s="36" t="s">
        <v>1029</v>
      </c>
      <c r="D894" s="53">
        <v>1050</v>
      </c>
      <c r="E894" s="53" t="s">
        <v>834</v>
      </c>
      <c r="F894" s="53" t="s">
        <v>11</v>
      </c>
      <c r="G894" s="54">
        <v>45423</v>
      </c>
      <c r="H894" s="53">
        <v>1055</v>
      </c>
      <c r="I894" s="53">
        <v>934</v>
      </c>
      <c r="J894" s="39" t="s">
        <v>33</v>
      </c>
      <c r="K894" s="39" t="s">
        <v>1152</v>
      </c>
      <c r="L894" s="39"/>
      <c r="M894" s="37">
        <v>45933</v>
      </c>
      <c r="N894" s="39">
        <v>7.2</v>
      </c>
      <c r="O894" s="40">
        <v>2397</v>
      </c>
    </row>
    <row r="895" spans="1:15" x14ac:dyDescent="0.55000000000000004">
      <c r="A895" s="24" t="str">
        <f>IF(COUNTIF(B895:$B$5014,B895)&gt;1,IF(COUNTIF($B$5:B895,B895)&gt;1,"",B895&amp;"-I"),B895)</f>
        <v/>
      </c>
      <c r="B895" s="29">
        <f t="shared" si="16"/>
        <v>1025</v>
      </c>
      <c r="C895" s="36" t="s">
        <v>1030</v>
      </c>
      <c r="D895" s="53">
        <v>1051</v>
      </c>
      <c r="E895" s="53" t="s">
        <v>834</v>
      </c>
      <c r="F895" s="53" t="s">
        <v>12</v>
      </c>
      <c r="G895" s="54">
        <v>45434</v>
      </c>
      <c r="H895" s="53">
        <v>1043</v>
      </c>
      <c r="I895" s="53">
        <v>1025</v>
      </c>
      <c r="J895" s="39" t="s">
        <v>33</v>
      </c>
      <c r="K895" s="39" t="s">
        <v>1087</v>
      </c>
      <c r="L895" s="39"/>
      <c r="M895" s="37">
        <v>45597</v>
      </c>
      <c r="N895" s="39">
        <v>5.2</v>
      </c>
      <c r="O895" s="40">
        <v>1579</v>
      </c>
    </row>
    <row r="896" spans="1:15" x14ac:dyDescent="0.55000000000000004">
      <c r="A896" s="24">
        <f>IF(COUNTIF(B896:$B$5014,B896)&gt;1,IF(COUNTIF($B$5:B896,B896)&gt;1,"",B896&amp;"-I"),B896)</f>
        <v>969</v>
      </c>
      <c r="B896" s="29">
        <f t="shared" si="16"/>
        <v>969</v>
      </c>
      <c r="C896" s="36" t="s">
        <v>1031</v>
      </c>
      <c r="D896" s="53">
        <v>1052</v>
      </c>
      <c r="E896" s="53" t="s">
        <v>833</v>
      </c>
      <c r="F896" s="53" t="s">
        <v>12</v>
      </c>
      <c r="G896" s="54">
        <v>45435</v>
      </c>
      <c r="H896" s="53">
        <v>1055</v>
      </c>
      <c r="I896" s="53">
        <v>969</v>
      </c>
      <c r="J896" s="39" t="s">
        <v>33</v>
      </c>
      <c r="K896" s="39" t="s">
        <v>1087</v>
      </c>
      <c r="L896" s="39"/>
      <c r="M896" s="37">
        <v>45597</v>
      </c>
      <c r="N896" s="39">
        <v>5.2</v>
      </c>
      <c r="O896" s="40">
        <v>1579</v>
      </c>
    </row>
    <row r="897" spans="1:15" x14ac:dyDescent="0.55000000000000004">
      <c r="A897" s="24">
        <f>IF(COUNTIF(B897:$B$5014,B897)&gt;1,IF(COUNTIF($B$5:B897,B897)&gt;1,"",B897&amp;"-I"),B897)</f>
        <v>946</v>
      </c>
      <c r="B897" s="29">
        <f t="shared" si="16"/>
        <v>946</v>
      </c>
      <c r="C897" s="36">
        <v>899</v>
      </c>
      <c r="D897" s="164">
        <v>1053</v>
      </c>
      <c r="E897" s="53" t="s">
        <v>833</v>
      </c>
      <c r="F897" s="53" t="s">
        <v>11</v>
      </c>
      <c r="G897" s="54">
        <v>45461</v>
      </c>
      <c r="H897" s="53">
        <v>1055</v>
      </c>
      <c r="I897" s="53">
        <v>946</v>
      </c>
      <c r="J897" s="39" t="s">
        <v>33</v>
      </c>
      <c r="K897" s="47" t="s">
        <v>1157</v>
      </c>
      <c r="L897" s="47" t="s">
        <v>1168</v>
      </c>
      <c r="M897" s="161" t="s">
        <v>1099</v>
      </c>
      <c r="N897" s="47" t="s">
        <v>1169</v>
      </c>
      <c r="O897" s="40"/>
    </row>
    <row r="898" spans="1:15" x14ac:dyDescent="0.55000000000000004">
      <c r="A898" s="24">
        <f>IF(COUNTIF(B898:$B$5014,B898)&gt;1,IF(COUNTIF($B$5:B898,B898)&gt;1,"",B898&amp;"-I"),B898)</f>
        <v>863</v>
      </c>
      <c r="B898" s="29">
        <f t="shared" si="16"/>
        <v>863</v>
      </c>
      <c r="C898" s="36" t="s">
        <v>1032</v>
      </c>
      <c r="D898" s="53">
        <v>1054</v>
      </c>
      <c r="E898" s="53" t="s">
        <v>833</v>
      </c>
      <c r="F898" s="53" t="s">
        <v>12</v>
      </c>
      <c r="G898" s="54">
        <v>45486</v>
      </c>
      <c r="H898" s="53">
        <v>1055</v>
      </c>
      <c r="I898" s="53">
        <v>863</v>
      </c>
      <c r="J898" s="39" t="s">
        <v>33</v>
      </c>
      <c r="K898" s="47" t="s">
        <v>1174</v>
      </c>
      <c r="L898" s="47" t="s">
        <v>1098</v>
      </c>
      <c r="M898" s="87">
        <v>45962</v>
      </c>
      <c r="N898" s="47">
        <v>8.02</v>
      </c>
      <c r="O898" s="50">
        <v>2500</v>
      </c>
    </row>
    <row r="899" spans="1:15" x14ac:dyDescent="0.55000000000000004">
      <c r="A899" s="24" t="str">
        <f>IF(COUNTIF(B899:$B$5014,B899)&gt;1,IF(COUNTIF($B$5:B899,B899)&gt;1,"",B899&amp;"-I"),B899)</f>
        <v/>
      </c>
      <c r="B899" s="29">
        <f t="shared" si="16"/>
        <v>1029</v>
      </c>
      <c r="C899" s="36" t="s">
        <v>1033</v>
      </c>
      <c r="D899" s="53">
        <v>1055</v>
      </c>
      <c r="E899" s="53" t="s">
        <v>834</v>
      </c>
      <c r="F899" s="53" t="s">
        <v>11</v>
      </c>
      <c r="G899" s="54">
        <v>45499</v>
      </c>
      <c r="H899" s="53">
        <v>1043</v>
      </c>
      <c r="I899" s="53">
        <v>1029</v>
      </c>
      <c r="J899" s="39" t="s">
        <v>33</v>
      </c>
      <c r="K899" s="39" t="s">
        <v>1152</v>
      </c>
      <c r="L899" s="39"/>
      <c r="M899" s="37">
        <v>45933</v>
      </c>
      <c r="N899" s="39">
        <v>7.2</v>
      </c>
      <c r="O899" s="40">
        <v>2397</v>
      </c>
    </row>
    <row r="900" spans="1:15" x14ac:dyDescent="0.55000000000000004">
      <c r="A900" s="24" t="str">
        <f>IF(COUNTIF(B900:$B$5014,B900)&gt;1,IF(COUNTIF($B$5:B900,B900)&gt;1,"",B900&amp;"-I"),B900)</f>
        <v/>
      </c>
      <c r="B900" s="29">
        <f t="shared" si="16"/>
        <v>1028</v>
      </c>
      <c r="C900" s="36" t="s">
        <v>1034</v>
      </c>
      <c r="D900" s="53">
        <v>1056</v>
      </c>
      <c r="E900" s="53" t="s">
        <v>833</v>
      </c>
      <c r="F900" s="53" t="s">
        <v>11</v>
      </c>
      <c r="G900" s="54">
        <v>45505</v>
      </c>
      <c r="H900" s="53">
        <v>1043</v>
      </c>
      <c r="I900" s="53">
        <v>1028</v>
      </c>
      <c r="J900" s="39" t="s">
        <v>33</v>
      </c>
      <c r="K900" s="39" t="s">
        <v>1152</v>
      </c>
      <c r="L900" s="39"/>
      <c r="M900" s="37">
        <v>45933</v>
      </c>
      <c r="N900" s="39">
        <v>7.2</v>
      </c>
      <c r="O900" s="40">
        <v>2397</v>
      </c>
    </row>
    <row r="901" spans="1:15" x14ac:dyDescent="0.55000000000000004">
      <c r="A901" s="24" t="str">
        <f>IF(COUNTIF(B901:$B$5014,B901)&gt;1,IF(COUNTIF($B$5:B901,B901)&gt;1,"",B901&amp;"-I"),B901)</f>
        <v/>
      </c>
      <c r="B901" s="29">
        <f t="shared" si="16"/>
        <v>899</v>
      </c>
      <c r="C901" s="36" t="s">
        <v>1035</v>
      </c>
      <c r="D901" s="72">
        <v>1057</v>
      </c>
      <c r="E901" s="53" t="s">
        <v>833</v>
      </c>
      <c r="F901" s="53" t="s">
        <v>11</v>
      </c>
      <c r="G901" s="54">
        <v>45509</v>
      </c>
      <c r="H901" s="53">
        <v>1055</v>
      </c>
      <c r="I901" s="53">
        <v>899</v>
      </c>
      <c r="J901" s="39" t="s">
        <v>33</v>
      </c>
      <c r="K901" s="47" t="s">
        <v>1157</v>
      </c>
      <c r="L901" s="47" t="s">
        <v>1185</v>
      </c>
      <c r="M901" s="39"/>
      <c r="N901" s="39"/>
      <c r="O901" s="40"/>
    </row>
    <row r="902" spans="1:15" x14ac:dyDescent="0.55000000000000004">
      <c r="A902" s="24" t="str">
        <f>IF(COUNTIF(B902:$B$5014,B902)&gt;1,IF(COUNTIF($B$5:B902,B902)&gt;1,"",B902&amp;"-I"),B902)</f>
        <v/>
      </c>
      <c r="B902" s="29">
        <f t="shared" si="16"/>
        <v>992</v>
      </c>
      <c r="C902" s="36" t="s">
        <v>1036</v>
      </c>
      <c r="D902" s="53">
        <v>1058</v>
      </c>
      <c r="E902" s="53" t="s">
        <v>833</v>
      </c>
      <c r="F902" s="53" t="s">
        <v>11</v>
      </c>
      <c r="G902" s="54">
        <v>45509</v>
      </c>
      <c r="H902" s="53">
        <v>1055</v>
      </c>
      <c r="I902" s="53">
        <v>992</v>
      </c>
      <c r="J902" s="39" t="s">
        <v>33</v>
      </c>
      <c r="K902" s="39" t="s">
        <v>1152</v>
      </c>
      <c r="L902" s="39"/>
      <c r="M902" s="37">
        <v>45933</v>
      </c>
      <c r="N902" s="39">
        <v>7.2</v>
      </c>
      <c r="O902" s="40">
        <v>2397</v>
      </c>
    </row>
    <row r="903" spans="1:15" x14ac:dyDescent="0.55000000000000004">
      <c r="A903" s="24" t="str">
        <f>IF(COUNTIF(B903:$B$5014,B903)&gt;1,IF(COUNTIF($B$5:B903,B903)&gt;1,"",B903&amp;"-I"),B903)</f>
        <v/>
      </c>
      <c r="B903" s="29">
        <f t="shared" si="16"/>
        <v>1027</v>
      </c>
      <c r="C903" s="36" t="s">
        <v>1037</v>
      </c>
      <c r="D903" s="53">
        <v>1059</v>
      </c>
      <c r="E903" s="53" t="s">
        <v>833</v>
      </c>
      <c r="F903" s="53" t="s">
        <v>11</v>
      </c>
      <c r="G903" s="54">
        <v>45513</v>
      </c>
      <c r="H903" s="53">
        <v>1043</v>
      </c>
      <c r="I903" s="53">
        <v>1027</v>
      </c>
      <c r="J903" s="39" t="s">
        <v>33</v>
      </c>
      <c r="K903" s="39" t="s">
        <v>1152</v>
      </c>
      <c r="L903" s="39"/>
      <c r="M903" s="37">
        <v>45933</v>
      </c>
      <c r="N903" s="39">
        <v>7.2</v>
      </c>
      <c r="O903" s="40">
        <v>2397</v>
      </c>
    </row>
    <row r="904" spans="1:15" x14ac:dyDescent="0.55000000000000004">
      <c r="A904" s="24" t="str">
        <f>IF(COUNTIF(B904:$B$5014,B904)&gt;1,IF(COUNTIF($B$5:B904,B904)&gt;1,"",B904&amp;"-I"),B904)</f>
        <v/>
      </c>
      <c r="B904" s="29">
        <f t="shared" si="16"/>
        <v>1023</v>
      </c>
      <c r="C904" s="36" t="s">
        <v>1038</v>
      </c>
      <c r="D904" s="53">
        <v>1060</v>
      </c>
      <c r="E904" s="53" t="s">
        <v>833</v>
      </c>
      <c r="F904" s="53" t="s">
        <v>12</v>
      </c>
      <c r="G904" s="54">
        <v>45518</v>
      </c>
      <c r="H904" s="53">
        <v>1043</v>
      </c>
      <c r="I904" s="53">
        <v>1023</v>
      </c>
      <c r="J904" s="39" t="s">
        <v>33</v>
      </c>
      <c r="K904" s="47" t="s">
        <v>1174</v>
      </c>
      <c r="L904" s="47" t="s">
        <v>1184</v>
      </c>
      <c r="M904" s="87">
        <v>45962</v>
      </c>
      <c r="N904" s="47">
        <v>8.02</v>
      </c>
      <c r="O904" s="50">
        <v>2500</v>
      </c>
    </row>
    <row r="905" spans="1:15" x14ac:dyDescent="0.55000000000000004">
      <c r="A905" s="24" t="str">
        <f>IF(COUNTIF(B905:$B$5014,B905)&gt;1,IF(COUNTIF($B$5:B905,B905)&gt;1,"",B905&amp;"-I"),B905)</f>
        <v/>
      </c>
      <c r="B905" s="29">
        <f t="shared" si="16"/>
        <v>1039</v>
      </c>
      <c r="C905" s="36" t="s">
        <v>1039</v>
      </c>
      <c r="D905" s="72">
        <v>1061</v>
      </c>
      <c r="E905" s="53" t="s">
        <v>833</v>
      </c>
      <c r="F905" s="53" t="s">
        <v>11</v>
      </c>
      <c r="G905" s="54">
        <v>45523</v>
      </c>
      <c r="H905" s="53">
        <v>1055</v>
      </c>
      <c r="I905" s="53">
        <v>1039</v>
      </c>
      <c r="J905" s="39" t="s">
        <v>33</v>
      </c>
      <c r="K905" s="39" t="s">
        <v>1152</v>
      </c>
      <c r="L905" s="39"/>
      <c r="M905" s="37">
        <v>45933</v>
      </c>
      <c r="N905" s="39">
        <v>7.2</v>
      </c>
      <c r="O905" s="40">
        <v>2397</v>
      </c>
    </row>
    <row r="906" spans="1:15" x14ac:dyDescent="0.55000000000000004">
      <c r="A906" s="24" t="str">
        <f>IF(COUNTIF(B906:$B$5014,B906)&gt;1,IF(COUNTIF($B$5:B906,B906)&gt;1,"",B906&amp;"-I"),B906)</f>
        <v/>
      </c>
      <c r="B906" s="29">
        <f t="shared" si="16"/>
        <v>1037</v>
      </c>
      <c r="C906" s="36" t="s">
        <v>1040</v>
      </c>
      <c r="D906" s="53">
        <v>1062</v>
      </c>
      <c r="E906" s="53" t="s">
        <v>834</v>
      </c>
      <c r="F906" s="53" t="s">
        <v>12</v>
      </c>
      <c r="G906" s="54">
        <v>45528</v>
      </c>
      <c r="H906" s="53">
        <v>1055</v>
      </c>
      <c r="I906" s="53">
        <v>1037</v>
      </c>
      <c r="J906" s="39" t="s">
        <v>33</v>
      </c>
      <c r="K906" s="161" t="s">
        <v>1174</v>
      </c>
      <c r="L906" s="47" t="s">
        <v>1098</v>
      </c>
      <c r="M906" s="87">
        <v>45962</v>
      </c>
      <c r="N906" s="47">
        <v>8.02</v>
      </c>
      <c r="O906" s="50">
        <v>2500</v>
      </c>
    </row>
    <row r="907" spans="1:15" x14ac:dyDescent="0.55000000000000004">
      <c r="A907" s="24" t="str">
        <f>IF(COUNTIF(B907:$B$5014,B907)&gt;1,IF(COUNTIF($B$5:B907,B907)&gt;1,"",B907&amp;"-I"),B907)</f>
        <v/>
      </c>
      <c r="B907" s="29">
        <f t="shared" si="16"/>
        <v>1035</v>
      </c>
      <c r="C907" s="36" t="s">
        <v>1041</v>
      </c>
      <c r="D907" s="53">
        <v>1063</v>
      </c>
      <c r="E907" s="53" t="s">
        <v>834</v>
      </c>
      <c r="F907" s="53" t="s">
        <v>11</v>
      </c>
      <c r="G907" s="54">
        <v>45534</v>
      </c>
      <c r="H907" s="53">
        <v>1043</v>
      </c>
      <c r="I907" s="53">
        <v>1035</v>
      </c>
      <c r="J907" s="39" t="s">
        <v>33</v>
      </c>
      <c r="K907" s="39" t="s">
        <v>1152</v>
      </c>
      <c r="L907" s="39"/>
      <c r="M907" s="37">
        <v>45933</v>
      </c>
      <c r="N907" s="39">
        <v>7.2</v>
      </c>
      <c r="O907" s="40">
        <v>2397</v>
      </c>
    </row>
    <row r="908" spans="1:15" x14ac:dyDescent="0.55000000000000004">
      <c r="A908" s="24" t="str">
        <f>IF(COUNTIF(B908:$B$5014,B908)&gt;1,IF(COUNTIF($B$5:B908,B908)&gt;1,"",B908&amp;"-I"),B908)</f>
        <v/>
      </c>
      <c r="B908" s="29">
        <f t="shared" si="16"/>
        <v>1010</v>
      </c>
      <c r="C908" s="36" t="s">
        <v>1042</v>
      </c>
      <c r="D908" s="53">
        <v>1064</v>
      </c>
      <c r="E908" s="53" t="s">
        <v>833</v>
      </c>
      <c r="F908" s="53" t="s">
        <v>12</v>
      </c>
      <c r="G908" s="54">
        <v>45536</v>
      </c>
      <c r="H908" s="53">
        <v>1055</v>
      </c>
      <c r="I908" s="53">
        <v>1010</v>
      </c>
      <c r="J908" s="39" t="s">
        <v>33</v>
      </c>
      <c r="K908" s="47" t="s">
        <v>1174</v>
      </c>
      <c r="L908" s="47" t="s">
        <v>1098</v>
      </c>
      <c r="M908" s="87">
        <v>45962</v>
      </c>
      <c r="N908" s="47">
        <v>8.02</v>
      </c>
      <c r="O908" s="50">
        <v>2500</v>
      </c>
    </row>
    <row r="909" spans="1:15" x14ac:dyDescent="0.55000000000000004">
      <c r="A909" s="24">
        <f>IF(COUNTIF(B909:$B$5014,B909)&gt;1,IF(COUNTIF($B$5:B909,B909)&gt;1,"",B909&amp;"-I"),B909)</f>
        <v>858</v>
      </c>
      <c r="B909" s="29">
        <f t="shared" si="16"/>
        <v>858</v>
      </c>
      <c r="C909" s="36" t="s">
        <v>1043</v>
      </c>
      <c r="D909" s="53">
        <v>1065</v>
      </c>
      <c r="E909" s="53" t="s">
        <v>833</v>
      </c>
      <c r="F909" s="53" t="s">
        <v>12</v>
      </c>
      <c r="G909" s="54">
        <v>45548</v>
      </c>
      <c r="H909" s="53">
        <v>1055</v>
      </c>
      <c r="I909" s="53">
        <v>858</v>
      </c>
      <c r="J909" s="39" t="s">
        <v>33</v>
      </c>
      <c r="K909" s="47" t="s">
        <v>1174</v>
      </c>
      <c r="L909" s="47" t="s">
        <v>1098</v>
      </c>
      <c r="M909" s="87">
        <v>45962</v>
      </c>
      <c r="N909" s="39">
        <v>8.02</v>
      </c>
      <c r="O909" s="40">
        <v>2500</v>
      </c>
    </row>
    <row r="910" spans="1:15" x14ac:dyDescent="0.55000000000000004">
      <c r="A910" s="24" t="str">
        <f>IF(COUNTIF(B910:$B$5014,B910)&gt;1,IF(COUNTIF($B$5:B910,B910)&gt;1,"",B910&amp;"-I"),B910)</f>
        <v/>
      </c>
      <c r="B910" s="29">
        <f t="shared" si="16"/>
        <v>1036</v>
      </c>
      <c r="C910" s="36" t="s">
        <v>1044</v>
      </c>
      <c r="D910" s="53">
        <v>1066</v>
      </c>
      <c r="E910" s="53" t="s">
        <v>833</v>
      </c>
      <c r="F910" s="53" t="s">
        <v>12</v>
      </c>
      <c r="G910" s="54">
        <v>45548</v>
      </c>
      <c r="H910" s="53">
        <v>1055</v>
      </c>
      <c r="I910" s="53">
        <v>1036</v>
      </c>
      <c r="J910" s="39" t="s">
        <v>33</v>
      </c>
      <c r="K910" s="39" t="s">
        <v>1152</v>
      </c>
      <c r="L910" s="39"/>
      <c r="M910" s="37">
        <v>45933</v>
      </c>
      <c r="N910" s="39">
        <v>7.2</v>
      </c>
      <c r="O910" s="40">
        <v>2397</v>
      </c>
    </row>
    <row r="911" spans="1:15" x14ac:dyDescent="0.55000000000000004">
      <c r="A911" s="24" t="str">
        <f>IF(COUNTIF(B911:$B$5014,B911)&gt;1,IF(COUNTIF($B$5:B911,B911)&gt;1,"",B911&amp;"-I"),B911)</f>
        <v/>
      </c>
      <c r="B911" s="29">
        <f t="shared" si="16"/>
        <v>1026</v>
      </c>
      <c r="C911" s="36" t="s">
        <v>1045</v>
      </c>
      <c r="D911" s="53">
        <v>1067</v>
      </c>
      <c r="E911" s="53" t="s">
        <v>833</v>
      </c>
      <c r="F911" s="53" t="s">
        <v>11</v>
      </c>
      <c r="G911" s="54">
        <v>45552</v>
      </c>
      <c r="H911" s="53">
        <v>1055</v>
      </c>
      <c r="I911" s="53">
        <v>1026</v>
      </c>
      <c r="J911" s="39" t="s">
        <v>33</v>
      </c>
      <c r="K911" s="39" t="s">
        <v>1152</v>
      </c>
      <c r="L911" s="39"/>
      <c r="M911" s="37">
        <v>45933</v>
      </c>
      <c r="N911" s="39">
        <v>7.2</v>
      </c>
      <c r="O911" s="40">
        <v>2397</v>
      </c>
    </row>
    <row r="912" spans="1:15" x14ac:dyDescent="0.55000000000000004">
      <c r="A912" s="24" t="str">
        <f>IF(COUNTIF(B912:$B$5014,B912)&gt;1,IF(COUNTIF($B$5:B912,B912)&gt;1,"",B912&amp;"-I"),B912)</f>
        <v/>
      </c>
      <c r="B912" s="29">
        <f t="shared" si="16"/>
        <v>987</v>
      </c>
      <c r="C912" s="36" t="s">
        <v>1046</v>
      </c>
      <c r="D912" s="53">
        <v>1068</v>
      </c>
      <c r="E912" s="53" t="s">
        <v>834</v>
      </c>
      <c r="F912" s="53" t="s">
        <v>12</v>
      </c>
      <c r="G912" s="54">
        <v>45553</v>
      </c>
      <c r="H912" s="53" t="s">
        <v>1119</v>
      </c>
      <c r="I912" s="53">
        <v>987</v>
      </c>
      <c r="J912" s="39" t="s">
        <v>33</v>
      </c>
      <c r="K912" s="39" t="s">
        <v>930</v>
      </c>
      <c r="L912" s="39"/>
      <c r="M912" s="37">
        <v>46054</v>
      </c>
      <c r="N912" s="39">
        <v>5.41</v>
      </c>
      <c r="O912" s="40">
        <v>1872</v>
      </c>
    </row>
    <row r="913" spans="1:16" x14ac:dyDescent="0.55000000000000004">
      <c r="A913" s="24" t="str">
        <f>IF(COUNTIF(B913:$B$5014,B913)&gt;1,IF(COUNTIF($B$5:B913,B913)&gt;1,"",B913&amp;"-I"),B913)</f>
        <v/>
      </c>
      <c r="B913" s="29">
        <f t="shared" si="16"/>
        <v>976</v>
      </c>
      <c r="C913" s="36" t="s">
        <v>1047</v>
      </c>
      <c r="D913" s="53">
        <v>1069</v>
      </c>
      <c r="E913" s="53" t="s">
        <v>833</v>
      </c>
      <c r="F913" s="53" t="s">
        <v>11</v>
      </c>
      <c r="G913" s="54">
        <v>45561</v>
      </c>
      <c r="H913" s="53">
        <v>1043</v>
      </c>
      <c r="I913" s="53">
        <v>976</v>
      </c>
      <c r="J913" s="39" t="s">
        <v>33</v>
      </c>
      <c r="K913" s="39" t="s">
        <v>1152</v>
      </c>
      <c r="L913" s="39"/>
      <c r="M913" s="37">
        <v>45933</v>
      </c>
      <c r="N913" s="39">
        <v>7.2</v>
      </c>
      <c r="O913" s="40">
        <v>2397</v>
      </c>
    </row>
    <row r="914" spans="1:16" x14ac:dyDescent="0.55000000000000004">
      <c r="A914" s="24" t="str">
        <f>IF(COUNTIF(B914:$B$5014,B914)&gt;1,IF(COUNTIF($B$5:B914,B914)&gt;1,"",B914&amp;"-I"),B914)</f>
        <v/>
      </c>
      <c r="B914" s="29">
        <f t="shared" si="16"/>
        <v>1009</v>
      </c>
      <c r="C914" s="36" t="s">
        <v>1048</v>
      </c>
      <c r="D914" s="53">
        <v>1070</v>
      </c>
      <c r="E914" s="53" t="s">
        <v>833</v>
      </c>
      <c r="F914" s="53" t="s">
        <v>12</v>
      </c>
      <c r="G914" s="54">
        <v>45563</v>
      </c>
      <c r="H914" s="53" t="s">
        <v>1119</v>
      </c>
      <c r="I914" s="53">
        <v>1009</v>
      </c>
      <c r="J914" s="39" t="s">
        <v>33</v>
      </c>
      <c r="K914" s="39" t="s">
        <v>930</v>
      </c>
      <c r="L914" s="39"/>
      <c r="M914" s="37">
        <v>46054</v>
      </c>
      <c r="N914" s="39">
        <v>5.41</v>
      </c>
      <c r="O914" s="40">
        <v>1872</v>
      </c>
    </row>
    <row r="915" spans="1:16" x14ac:dyDescent="0.55000000000000004">
      <c r="A915" s="24" t="str">
        <f>IF(COUNTIF(B915:$B$5014,B915)&gt;1,IF(COUNTIF($B$5:B915,B915)&gt;1,"",B915&amp;"-I"),B915)</f>
        <v/>
      </c>
      <c r="B915" s="29">
        <f t="shared" ref="B915:B936" si="17">+I915</f>
        <v>981</v>
      </c>
      <c r="C915" s="36" t="s">
        <v>1049</v>
      </c>
      <c r="D915" s="53">
        <v>1071</v>
      </c>
      <c r="E915" s="53" t="s">
        <v>834</v>
      </c>
      <c r="F915" s="53" t="s">
        <v>12</v>
      </c>
      <c r="G915" s="54">
        <v>45566</v>
      </c>
      <c r="H915" s="53" t="s">
        <v>1120</v>
      </c>
      <c r="I915" s="53">
        <v>981</v>
      </c>
      <c r="J915" s="39" t="s">
        <v>33</v>
      </c>
      <c r="K915" s="39" t="s">
        <v>930</v>
      </c>
      <c r="L915" s="39"/>
      <c r="M915" s="37">
        <v>46054</v>
      </c>
      <c r="N915" s="39">
        <v>5.41</v>
      </c>
      <c r="O915" s="40">
        <v>1872</v>
      </c>
      <c r="P915" s="24" t="s">
        <v>914</v>
      </c>
    </row>
    <row r="916" spans="1:16" x14ac:dyDescent="0.55000000000000004">
      <c r="A916" s="24" t="str">
        <f>IF(COUNTIF(B916:$B$5014,B916)&gt;1,IF(COUNTIF($B$5:B916,B916)&gt;1,"",B916&amp;"-I"),B916)</f>
        <v>1051-I</v>
      </c>
      <c r="B916" s="29">
        <f t="shared" si="17"/>
        <v>1051</v>
      </c>
      <c r="C916" s="36" t="s">
        <v>1050</v>
      </c>
      <c r="D916" s="53">
        <v>1072</v>
      </c>
      <c r="E916" s="53" t="s">
        <v>833</v>
      </c>
      <c r="F916" s="53" t="s">
        <v>11</v>
      </c>
      <c r="G916" s="54">
        <v>45566</v>
      </c>
      <c r="H916" s="53" t="s">
        <v>1119</v>
      </c>
      <c r="I916" s="53">
        <v>1051</v>
      </c>
      <c r="J916" s="39" t="s">
        <v>33</v>
      </c>
      <c r="K916" s="39" t="s">
        <v>1152</v>
      </c>
      <c r="L916" s="39"/>
      <c r="M916" s="37">
        <v>45933</v>
      </c>
      <c r="N916" s="39">
        <v>7.2</v>
      </c>
      <c r="O916" s="40">
        <v>2397</v>
      </c>
    </row>
    <row r="917" spans="1:16" x14ac:dyDescent="0.55000000000000004">
      <c r="A917" s="24" t="str">
        <f>IF(COUNTIF(B917:$B$5014,B917)&gt;1,IF(COUNTIF($B$5:B917,B917)&gt;1,"",B917&amp;"-I"),B917)</f>
        <v/>
      </c>
      <c r="B917" s="29">
        <f t="shared" si="17"/>
        <v>964</v>
      </c>
      <c r="C917" s="36" t="s">
        <v>1051</v>
      </c>
      <c r="D917" s="53">
        <v>1073</v>
      </c>
      <c r="E917" s="53" t="s">
        <v>833</v>
      </c>
      <c r="F917" s="53" t="s">
        <v>12</v>
      </c>
      <c r="G917" s="54">
        <v>45579</v>
      </c>
      <c r="H917" s="53" t="s">
        <v>1119</v>
      </c>
      <c r="I917" s="53">
        <v>964</v>
      </c>
      <c r="J917" s="39" t="s">
        <v>33</v>
      </c>
      <c r="K917" s="39" t="s">
        <v>930</v>
      </c>
      <c r="L917" s="39"/>
      <c r="M917" s="37">
        <v>46054</v>
      </c>
      <c r="N917" s="39">
        <v>5.41</v>
      </c>
      <c r="O917" s="40">
        <v>1872</v>
      </c>
    </row>
    <row r="918" spans="1:16" x14ac:dyDescent="0.55000000000000004">
      <c r="A918" s="24" t="str">
        <f>IF(COUNTIF(B918:$B$5014,B918)&gt;1,IF(COUNTIF($B$5:B918,B918)&gt;1,"",B918&amp;"-I"),B918)</f>
        <v/>
      </c>
      <c r="B918" s="29">
        <f t="shared" si="17"/>
        <v>1011</v>
      </c>
      <c r="C918" s="36" t="s">
        <v>1052</v>
      </c>
      <c r="D918" s="53">
        <v>1074</v>
      </c>
      <c r="E918" s="53" t="s">
        <v>834</v>
      </c>
      <c r="F918" s="53" t="s">
        <v>11</v>
      </c>
      <c r="G918" s="54">
        <v>45582</v>
      </c>
      <c r="H918" s="53">
        <v>1043</v>
      </c>
      <c r="I918" s="53">
        <v>1011</v>
      </c>
      <c r="J918" s="39" t="s">
        <v>33</v>
      </c>
      <c r="K918" s="39" t="s">
        <v>1152</v>
      </c>
      <c r="L918" s="39"/>
      <c r="M918" s="37">
        <v>45933</v>
      </c>
      <c r="N918" s="39">
        <v>7.2</v>
      </c>
      <c r="O918" s="40">
        <v>2397</v>
      </c>
    </row>
    <row r="919" spans="1:16" x14ac:dyDescent="0.55000000000000004">
      <c r="A919" s="24" t="str">
        <f>IF(COUNTIF(B919:$B$5014,B919)&gt;1,IF(COUNTIF($B$5:B919,B919)&gt;1,"",B919&amp;"-I"),B919)</f>
        <v/>
      </c>
      <c r="B919" s="29">
        <f t="shared" si="17"/>
        <v>1024</v>
      </c>
      <c r="C919" s="36" t="s">
        <v>1053</v>
      </c>
      <c r="D919" s="53">
        <v>1075</v>
      </c>
      <c r="E919" s="53" t="s">
        <v>834</v>
      </c>
      <c r="F919" s="53" t="s">
        <v>11</v>
      </c>
      <c r="G919" s="54">
        <v>45583</v>
      </c>
      <c r="H919" s="53">
        <v>1055</v>
      </c>
      <c r="I919" s="53">
        <v>1024</v>
      </c>
      <c r="J919" s="39" t="s">
        <v>33</v>
      </c>
      <c r="K919" s="39" t="s">
        <v>1152</v>
      </c>
      <c r="L919" s="39"/>
      <c r="M919" s="37">
        <v>45933</v>
      </c>
      <c r="N919" s="39">
        <v>7.2</v>
      </c>
      <c r="O919" s="40">
        <v>2397</v>
      </c>
    </row>
    <row r="920" spans="1:16" x14ac:dyDescent="0.55000000000000004">
      <c r="A920" s="24">
        <f>IF(COUNTIF(B920:$B$5014,B920)&gt;1,IF(COUNTIF($B$5:B920,B920)&gt;1,"",B920&amp;"-I"),B920)</f>
        <v>978</v>
      </c>
      <c r="B920" s="29">
        <f t="shared" si="17"/>
        <v>978</v>
      </c>
      <c r="C920" s="36" t="s">
        <v>1054</v>
      </c>
      <c r="D920" s="53">
        <v>1076</v>
      </c>
      <c r="E920" s="53" t="s">
        <v>834</v>
      </c>
      <c r="F920" s="53" t="s">
        <v>12</v>
      </c>
      <c r="G920" s="54">
        <v>45585</v>
      </c>
      <c r="H920" s="53">
        <v>1055</v>
      </c>
      <c r="I920" s="53">
        <v>978</v>
      </c>
      <c r="J920" s="39" t="s">
        <v>33</v>
      </c>
      <c r="K920" s="39" t="s">
        <v>930</v>
      </c>
      <c r="L920" s="37"/>
      <c r="M920" s="37">
        <v>46054</v>
      </c>
      <c r="N920" s="39">
        <v>5.41</v>
      </c>
      <c r="O920" s="40">
        <v>1872</v>
      </c>
    </row>
    <row r="921" spans="1:16" x14ac:dyDescent="0.55000000000000004">
      <c r="A921" s="24" t="str">
        <f>IF(COUNTIF(B921:$B$5014,B921)&gt;1,IF(COUNTIF($B$5:B921,B921)&gt;1,"",B921&amp;"-I"),B921)</f>
        <v/>
      </c>
      <c r="B921" s="29">
        <f t="shared" si="17"/>
        <v>1044</v>
      </c>
      <c r="C921" s="36" t="s">
        <v>1055</v>
      </c>
      <c r="D921" s="53">
        <v>1077</v>
      </c>
      <c r="E921" s="53" t="s">
        <v>833</v>
      </c>
      <c r="F921" s="53" t="s">
        <v>12</v>
      </c>
      <c r="G921" s="54">
        <v>45586</v>
      </c>
      <c r="H921" s="53">
        <v>1043</v>
      </c>
      <c r="I921" s="53">
        <v>1044</v>
      </c>
      <c r="J921" s="39" t="s">
        <v>33</v>
      </c>
      <c r="K921" s="39" t="s">
        <v>930</v>
      </c>
      <c r="L921" s="39"/>
      <c r="M921" s="37">
        <v>46054</v>
      </c>
      <c r="N921" s="39">
        <v>5.41</v>
      </c>
      <c r="O921" s="40">
        <v>1872</v>
      </c>
    </row>
    <row r="922" spans="1:16" x14ac:dyDescent="0.55000000000000004">
      <c r="A922" s="24" t="str">
        <f>IF(COUNTIF(B922:$B$5014,B922)&gt;1,IF(COUNTIF($B$5:B922,B922)&gt;1,"",B922&amp;"-I"),B922)</f>
        <v/>
      </c>
      <c r="B922" s="29">
        <f t="shared" si="17"/>
        <v>1040</v>
      </c>
      <c r="C922" s="36" t="s">
        <v>1056</v>
      </c>
      <c r="D922" s="53">
        <v>1078</v>
      </c>
      <c r="E922" s="53" t="s">
        <v>833</v>
      </c>
      <c r="F922" s="53" t="s">
        <v>12</v>
      </c>
      <c r="G922" s="54">
        <v>45587</v>
      </c>
      <c r="H922" s="53">
        <v>1055</v>
      </c>
      <c r="I922" s="53">
        <v>1040</v>
      </c>
      <c r="J922" s="39" t="s">
        <v>33</v>
      </c>
      <c r="K922" s="39" t="s">
        <v>930</v>
      </c>
      <c r="L922" s="39"/>
      <c r="M922" s="37">
        <v>46054</v>
      </c>
      <c r="N922" s="39">
        <v>5.41</v>
      </c>
      <c r="O922" s="40">
        <v>1872</v>
      </c>
    </row>
    <row r="923" spans="1:16" x14ac:dyDescent="0.55000000000000004">
      <c r="A923" s="24" t="str">
        <f>IF(COUNTIF(B923:$B$5014,B923)&gt;1,IF(COUNTIF($B$5:B923,B923)&gt;1,"",B923&amp;"-I"),B923)</f>
        <v/>
      </c>
      <c r="B923" s="29">
        <f t="shared" si="17"/>
        <v>1043</v>
      </c>
      <c r="C923" s="36" t="s">
        <v>1057</v>
      </c>
      <c r="D923" s="53">
        <v>1079</v>
      </c>
      <c r="E923" s="53" t="s">
        <v>833</v>
      </c>
      <c r="F923" s="53" t="s">
        <v>12</v>
      </c>
      <c r="G923" s="54">
        <v>45587</v>
      </c>
      <c r="H923" s="53">
        <v>1055</v>
      </c>
      <c r="I923" s="53">
        <v>1043</v>
      </c>
      <c r="J923" s="39" t="s">
        <v>33</v>
      </c>
      <c r="K923" s="39" t="s">
        <v>930</v>
      </c>
      <c r="L923" s="39"/>
      <c r="M923" s="37">
        <v>46054</v>
      </c>
      <c r="N923" s="39">
        <v>5.41</v>
      </c>
      <c r="O923" s="40">
        <v>1872</v>
      </c>
    </row>
    <row r="924" spans="1:16" x14ac:dyDescent="0.55000000000000004">
      <c r="A924" s="24">
        <f>IF(COUNTIF(B924:$B$5014,B924)&gt;1,IF(COUNTIF($B$5:B924,B924)&gt;1,"",B924&amp;"-I"),B924)</f>
        <v>961</v>
      </c>
      <c r="B924" s="29">
        <f t="shared" si="17"/>
        <v>961</v>
      </c>
      <c r="C924" s="36" t="s">
        <v>1058</v>
      </c>
      <c r="D924" s="53">
        <v>1080</v>
      </c>
      <c r="E924" s="53" t="s">
        <v>834</v>
      </c>
      <c r="F924" s="53" t="s">
        <v>12</v>
      </c>
      <c r="G924" s="54">
        <v>45590</v>
      </c>
      <c r="H924" s="53">
        <v>1055</v>
      </c>
      <c r="I924" s="53">
        <v>961</v>
      </c>
      <c r="J924" s="39" t="s">
        <v>33</v>
      </c>
      <c r="K924" s="39" t="s">
        <v>930</v>
      </c>
      <c r="L924" s="39"/>
      <c r="M924" s="37">
        <v>46054</v>
      </c>
      <c r="N924" s="39">
        <v>5.41</v>
      </c>
      <c r="O924" s="40">
        <v>1872</v>
      </c>
    </row>
    <row r="925" spans="1:16" x14ac:dyDescent="0.55000000000000004">
      <c r="A925" s="24" t="str">
        <f>IF(COUNTIF(B925:$B$5014,B925)&gt;1,IF(COUNTIF($B$5:B925,B925)&gt;1,"",B925&amp;"-I"),B925)</f>
        <v/>
      </c>
      <c r="B925" s="29">
        <f t="shared" si="17"/>
        <v>1046</v>
      </c>
      <c r="C925" s="36" t="s">
        <v>1059</v>
      </c>
      <c r="D925" s="53">
        <v>1081</v>
      </c>
      <c r="E925" s="53" t="s">
        <v>833</v>
      </c>
      <c r="F925" s="53" t="s">
        <v>11</v>
      </c>
      <c r="G925" s="54">
        <v>45592</v>
      </c>
      <c r="H925" s="53">
        <v>1055</v>
      </c>
      <c r="I925" s="53">
        <v>1046</v>
      </c>
      <c r="J925" s="39" t="s">
        <v>33</v>
      </c>
      <c r="K925" s="39" t="s">
        <v>1152</v>
      </c>
      <c r="L925" s="39"/>
      <c r="M925" s="37">
        <v>45933</v>
      </c>
      <c r="N925" s="39">
        <v>7.2</v>
      </c>
      <c r="O925" s="40">
        <v>2397</v>
      </c>
    </row>
    <row r="926" spans="1:16" x14ac:dyDescent="0.55000000000000004">
      <c r="A926" s="24" t="str">
        <f>IF(COUNTIF(B926:$B$5014,B926)&gt;1,IF(COUNTIF($B$5:B926,B926)&gt;1,"",B926&amp;"-I"),B926)</f>
        <v>1059-I</v>
      </c>
      <c r="B926" s="29">
        <f t="shared" si="17"/>
        <v>1059</v>
      </c>
      <c r="C926" s="36" t="s">
        <v>1060</v>
      </c>
      <c r="D926" s="53">
        <v>1082</v>
      </c>
      <c r="E926" s="53" t="s">
        <v>833</v>
      </c>
      <c r="F926" s="53" t="s">
        <v>12</v>
      </c>
      <c r="G926" s="54">
        <v>45592</v>
      </c>
      <c r="H926" s="53">
        <v>1055</v>
      </c>
      <c r="I926" s="53">
        <v>1059</v>
      </c>
      <c r="J926" s="39" t="s">
        <v>33</v>
      </c>
      <c r="K926" s="39" t="s">
        <v>1186</v>
      </c>
      <c r="L926" s="39"/>
      <c r="M926" s="37">
        <v>46054</v>
      </c>
      <c r="N926" s="39">
        <v>5.41</v>
      </c>
      <c r="O926" s="40">
        <v>1872</v>
      </c>
      <c r="P926" s="100" t="s">
        <v>913</v>
      </c>
    </row>
    <row r="927" spans="1:16" x14ac:dyDescent="0.55000000000000004">
      <c r="A927" s="24">
        <f>IF(COUNTIF(B927:$B$5014,B927)&gt;1,IF(COUNTIF($B$5:B927,B927)&gt;1,"",B927&amp;"-I"),B927)</f>
        <v>967</v>
      </c>
      <c r="B927" s="29">
        <f t="shared" si="17"/>
        <v>967</v>
      </c>
      <c r="C927" s="36" t="s">
        <v>1061</v>
      </c>
      <c r="D927" s="72" t="s">
        <v>1187</v>
      </c>
      <c r="E927" s="53" t="s">
        <v>833</v>
      </c>
      <c r="F927" s="53" t="s">
        <v>11</v>
      </c>
      <c r="G927" s="54">
        <v>45595</v>
      </c>
      <c r="H927" s="53">
        <v>1055</v>
      </c>
      <c r="I927" s="53">
        <v>967</v>
      </c>
      <c r="J927" s="39" t="s">
        <v>33</v>
      </c>
      <c r="K927" s="39" t="s">
        <v>878</v>
      </c>
      <c r="L927" s="47" t="s">
        <v>1191</v>
      </c>
      <c r="M927" s="39"/>
      <c r="N927" s="39"/>
      <c r="O927" s="40"/>
    </row>
    <row r="928" spans="1:16" x14ac:dyDescent="0.55000000000000004">
      <c r="A928" s="24">
        <f>IF(COUNTIF(B928:$B$5014,B928)&gt;1,IF(COUNTIF($B$5:B928,B928)&gt;1,"",B928&amp;"-I"),B928)</f>
        <v>945</v>
      </c>
      <c r="B928" s="29">
        <f t="shared" si="17"/>
        <v>945</v>
      </c>
      <c r="C928" s="36" t="s">
        <v>1062</v>
      </c>
      <c r="D928" s="53">
        <v>1084</v>
      </c>
      <c r="E928" s="53" t="s">
        <v>834</v>
      </c>
      <c r="F928" s="53" t="s">
        <v>11</v>
      </c>
      <c r="G928" s="54">
        <v>45595</v>
      </c>
      <c r="H928" s="53">
        <v>1043</v>
      </c>
      <c r="I928" s="53">
        <v>945</v>
      </c>
      <c r="J928" s="39" t="s">
        <v>33</v>
      </c>
      <c r="K928" s="39" t="s">
        <v>1152</v>
      </c>
      <c r="L928" s="39"/>
      <c r="M928" s="37">
        <v>45933</v>
      </c>
      <c r="N928" s="39">
        <v>7.2</v>
      </c>
      <c r="O928" s="40">
        <v>2397</v>
      </c>
    </row>
    <row r="929" spans="1:16" x14ac:dyDescent="0.55000000000000004">
      <c r="A929" s="24" t="str">
        <f>IF(COUNTIF(B929:$B$5014,B929)&gt;1,IF(COUNTIF($B$5:B929,B929)&gt;1,"",B929&amp;"-I"),B929)</f>
        <v>1047-I</v>
      </c>
      <c r="B929" s="29">
        <f t="shared" si="17"/>
        <v>1047</v>
      </c>
      <c r="C929" s="36" t="s">
        <v>1063</v>
      </c>
      <c r="D929" s="53">
        <v>1085</v>
      </c>
      <c r="E929" s="53" t="s">
        <v>834</v>
      </c>
      <c r="F929" s="53" t="s">
        <v>11</v>
      </c>
      <c r="G929" s="54">
        <v>45597</v>
      </c>
      <c r="H929" s="53">
        <v>1055</v>
      </c>
      <c r="I929" s="53">
        <v>1047</v>
      </c>
      <c r="J929" s="39" t="s">
        <v>33</v>
      </c>
      <c r="K929" s="39" t="s">
        <v>1152</v>
      </c>
      <c r="L929" s="39"/>
      <c r="M929" s="37">
        <v>45933</v>
      </c>
      <c r="N929" s="39">
        <v>7.2</v>
      </c>
      <c r="O929" s="40">
        <v>2397</v>
      </c>
    </row>
    <row r="930" spans="1:16" x14ac:dyDescent="0.55000000000000004">
      <c r="A930" s="24" t="str">
        <f>IF(COUNTIF(B930:$B$5014,B930)&gt;1,IF(COUNTIF($B$5:B930,B930)&gt;1,"",B930&amp;"-I"),B930)</f>
        <v/>
      </c>
      <c r="B930" s="29">
        <f t="shared" si="17"/>
        <v>1038</v>
      </c>
      <c r="C930" s="36" t="s">
        <v>1064</v>
      </c>
      <c r="D930" s="53">
        <v>1086</v>
      </c>
      <c r="E930" s="53" t="s">
        <v>833</v>
      </c>
      <c r="F930" s="53" t="s">
        <v>11</v>
      </c>
      <c r="G930" s="54">
        <v>45599</v>
      </c>
      <c r="H930" s="53">
        <v>1043</v>
      </c>
      <c r="I930" s="53">
        <v>1038</v>
      </c>
      <c r="J930" s="39" t="s">
        <v>33</v>
      </c>
      <c r="K930" s="39" t="s">
        <v>1152</v>
      </c>
      <c r="L930" s="39"/>
      <c r="M930" s="37">
        <v>45933</v>
      </c>
      <c r="N930" s="39">
        <v>7.2</v>
      </c>
      <c r="O930" s="40">
        <v>2397</v>
      </c>
    </row>
    <row r="931" spans="1:16" x14ac:dyDescent="0.55000000000000004">
      <c r="A931" s="24">
        <f>IF(COUNTIF(B931:$B$5014,B931)&gt;1,IF(COUNTIF($B$5:B931,B931)&gt;1,"",B931&amp;"-I"),B931)</f>
        <v>926</v>
      </c>
      <c r="B931" s="29">
        <f t="shared" si="17"/>
        <v>926</v>
      </c>
      <c r="C931" s="36" t="s">
        <v>1065</v>
      </c>
      <c r="D931" s="53">
        <v>1087</v>
      </c>
      <c r="E931" s="53" t="s">
        <v>833</v>
      </c>
      <c r="F931" s="53" t="s">
        <v>11</v>
      </c>
      <c r="G931" s="54">
        <v>45628</v>
      </c>
      <c r="H931" s="53" t="s">
        <v>1120</v>
      </c>
      <c r="I931" s="53">
        <v>926</v>
      </c>
      <c r="J931" s="39" t="s">
        <v>33</v>
      </c>
      <c r="K931" s="39" t="s">
        <v>930</v>
      </c>
      <c r="L931" s="39"/>
      <c r="M931" s="37">
        <v>46054</v>
      </c>
      <c r="N931" s="39">
        <v>5.41</v>
      </c>
      <c r="O931" s="40">
        <v>1872</v>
      </c>
    </row>
    <row r="932" spans="1:16" x14ac:dyDescent="0.55000000000000004">
      <c r="A932" s="24" t="str">
        <f>IF(COUNTIF(B932:$B$5014,B932)&gt;1,IF(COUNTIF($B$5:B932,B932)&gt;1,"",B932&amp;"-I"),B932)</f>
        <v/>
      </c>
      <c r="B932" s="29">
        <f t="shared" si="17"/>
        <v>1022</v>
      </c>
      <c r="C932" s="36" t="s">
        <v>1066</v>
      </c>
      <c r="D932" s="72">
        <v>1088</v>
      </c>
      <c r="E932" s="53" t="s">
        <v>833</v>
      </c>
      <c r="F932" s="53" t="s">
        <v>12</v>
      </c>
      <c r="G932" s="54">
        <v>45637</v>
      </c>
      <c r="H932" s="53" t="s">
        <v>1120</v>
      </c>
      <c r="I932" s="53">
        <v>1022</v>
      </c>
      <c r="J932" s="39" t="s">
        <v>33</v>
      </c>
      <c r="K932" s="47"/>
      <c r="L932" s="47" t="s">
        <v>1100</v>
      </c>
      <c r="M932" s="39"/>
      <c r="N932" s="39"/>
      <c r="O932" s="40"/>
    </row>
    <row r="933" spans="1:16" x14ac:dyDescent="0.55000000000000004">
      <c r="A933" s="24">
        <f>IF(COUNTIF(B933:$B$5014,B933)&gt;1,IF(COUNTIF($B$5:B933,B933)&gt;1,"",B933&amp;"-I"),B933)</f>
        <v>939</v>
      </c>
      <c r="B933" s="29">
        <f t="shared" si="17"/>
        <v>939</v>
      </c>
      <c r="C933" s="36" t="s">
        <v>1067</v>
      </c>
      <c r="D933" s="72">
        <v>1089</v>
      </c>
      <c r="E933" s="53" t="s">
        <v>833</v>
      </c>
      <c r="F933" s="53" t="s">
        <v>11</v>
      </c>
      <c r="G933" s="54">
        <v>45642</v>
      </c>
      <c r="H933" s="53" t="s">
        <v>1120</v>
      </c>
      <c r="I933" s="53">
        <v>939</v>
      </c>
      <c r="J933" s="39" t="s">
        <v>33</v>
      </c>
      <c r="K933" s="47"/>
      <c r="L933" s="47" t="s">
        <v>1121</v>
      </c>
      <c r="M933" s="47" t="s">
        <v>1122</v>
      </c>
      <c r="N933" s="47" t="s">
        <v>1170</v>
      </c>
      <c r="O933" s="40"/>
    </row>
    <row r="934" spans="1:16" x14ac:dyDescent="0.55000000000000004">
      <c r="A934" s="24">
        <f>IF(COUNTIF(B934:$B$5014,B934)&gt;1,IF(COUNTIF($B$5:B934,B934)&gt;1,"",B934&amp;"-I"),B934)</f>
        <v>1032</v>
      </c>
      <c r="B934" s="29">
        <f t="shared" si="17"/>
        <v>1032</v>
      </c>
      <c r="C934" s="36" t="s">
        <v>1068</v>
      </c>
      <c r="D934" s="53">
        <v>1090</v>
      </c>
      <c r="E934" s="53" t="s">
        <v>833</v>
      </c>
      <c r="F934" s="53" t="s">
        <v>11</v>
      </c>
      <c r="G934" s="54">
        <v>45667</v>
      </c>
      <c r="H934" s="53" t="s">
        <v>1120</v>
      </c>
      <c r="I934" s="53">
        <v>1032</v>
      </c>
      <c r="J934" s="39" t="s">
        <v>33</v>
      </c>
      <c r="K934" s="39" t="s">
        <v>930</v>
      </c>
      <c r="L934" s="39"/>
      <c r="M934" s="37">
        <v>46054</v>
      </c>
      <c r="N934" s="39">
        <v>5.41</v>
      </c>
      <c r="O934" s="40">
        <v>1872</v>
      </c>
    </row>
    <row r="935" spans="1:16" x14ac:dyDescent="0.55000000000000004">
      <c r="A935" s="24">
        <f>IF(COUNTIF(B935:$B$5014,B935)&gt;1,IF(COUNTIF($B$5:B935,B935)&gt;1,"",B935&amp;"-I"),B935)</f>
        <v>990</v>
      </c>
      <c r="B935" s="29">
        <f t="shared" si="17"/>
        <v>990</v>
      </c>
      <c r="C935" s="36" t="s">
        <v>1069</v>
      </c>
      <c r="D935" s="53">
        <v>1091</v>
      </c>
      <c r="E935" s="53" t="s">
        <v>833</v>
      </c>
      <c r="F935" s="53" t="s">
        <v>11</v>
      </c>
      <c r="G935" s="54">
        <v>45670</v>
      </c>
      <c r="H935" s="53" t="s">
        <v>1120</v>
      </c>
      <c r="I935" s="53">
        <v>990</v>
      </c>
      <c r="J935" s="39" t="s">
        <v>33</v>
      </c>
      <c r="K935" s="39" t="s">
        <v>930</v>
      </c>
      <c r="L935" s="39"/>
      <c r="M935" s="37">
        <v>46054</v>
      </c>
      <c r="N935" s="39">
        <v>5.41</v>
      </c>
      <c r="O935" s="40">
        <v>1872</v>
      </c>
    </row>
    <row r="936" spans="1:16" x14ac:dyDescent="0.55000000000000004">
      <c r="A936" s="24">
        <f>IF(COUNTIF(B936:$B$5014,B936)&gt;1,IF(COUNTIF($B$5:B936,B936)&gt;1,"",B936&amp;"-I"),B936)</f>
        <v>876</v>
      </c>
      <c r="B936" s="29">
        <f t="shared" si="17"/>
        <v>876</v>
      </c>
      <c r="C936" s="36" t="s">
        <v>1070</v>
      </c>
      <c r="D936" s="53">
        <v>1092</v>
      </c>
      <c r="E936" s="53" t="s">
        <v>833</v>
      </c>
      <c r="F936" s="53" t="s">
        <v>12</v>
      </c>
      <c r="G936" s="54">
        <v>45673</v>
      </c>
      <c r="H936" s="53" t="s">
        <v>1120</v>
      </c>
      <c r="I936" s="53">
        <v>876</v>
      </c>
      <c r="J936" s="39" t="s">
        <v>33</v>
      </c>
      <c r="K936" s="39" t="s">
        <v>930</v>
      </c>
      <c r="L936" s="39"/>
      <c r="M936" s="37">
        <v>46054</v>
      </c>
      <c r="N936" s="39">
        <v>5.41</v>
      </c>
      <c r="O936" s="40">
        <v>1872</v>
      </c>
    </row>
    <row r="937" spans="1:16" x14ac:dyDescent="0.55000000000000004">
      <c r="A937" s="24">
        <f>IF(COUNTIF(B937:$B$5014,B937)&gt;1,IF(COUNTIF($B$5:B937,B937)&gt;1,"",B937&amp;"-I"),B937)</f>
        <v>881</v>
      </c>
      <c r="B937" s="29">
        <f t="shared" ref="B937:B945" si="18">+I937</f>
        <v>881</v>
      </c>
      <c r="C937" s="36" t="s">
        <v>1105</v>
      </c>
      <c r="D937" s="53">
        <v>1093</v>
      </c>
      <c r="E937" s="53" t="s">
        <v>833</v>
      </c>
      <c r="F937" s="53" t="s">
        <v>11</v>
      </c>
      <c r="G937" s="54">
        <v>45684</v>
      </c>
      <c r="H937" s="53" t="s">
        <v>1120</v>
      </c>
      <c r="I937" s="53">
        <v>881</v>
      </c>
      <c r="J937" s="39" t="s">
        <v>33</v>
      </c>
      <c r="K937" s="39" t="s">
        <v>930</v>
      </c>
      <c r="L937" s="39"/>
      <c r="M937" s="37">
        <v>46054</v>
      </c>
      <c r="N937" s="39">
        <v>5.41</v>
      </c>
      <c r="O937" s="40">
        <v>1872</v>
      </c>
    </row>
    <row r="938" spans="1:16" x14ac:dyDescent="0.55000000000000004">
      <c r="A938" s="24">
        <f>IF(COUNTIF(B938:$B$5014,B938)&gt;1,IF(COUNTIF($B$5:B938,B938)&gt;1,"",B938&amp;"-I"),B938)</f>
        <v>943</v>
      </c>
      <c r="B938" s="29">
        <f t="shared" si="18"/>
        <v>943</v>
      </c>
      <c r="C938" s="36" t="s">
        <v>1106</v>
      </c>
      <c r="D938" s="53">
        <v>1094</v>
      </c>
      <c r="E938" s="53" t="s">
        <v>833</v>
      </c>
      <c r="F938" s="53" t="s">
        <v>11</v>
      </c>
      <c r="G938" s="54">
        <v>45700</v>
      </c>
      <c r="H938" s="53" t="s">
        <v>1120</v>
      </c>
      <c r="I938" s="53">
        <v>943</v>
      </c>
      <c r="J938" s="39" t="s">
        <v>33</v>
      </c>
      <c r="K938" s="39" t="s">
        <v>930</v>
      </c>
      <c r="L938" s="47" t="s">
        <v>1172</v>
      </c>
      <c r="M938" s="47" t="s">
        <v>1171</v>
      </c>
      <c r="N938" s="47">
        <v>1020</v>
      </c>
      <c r="O938" s="40"/>
    </row>
    <row r="939" spans="1:16" x14ac:dyDescent="0.55000000000000004">
      <c r="A939" s="24">
        <f>IF(COUNTIF(B939:$B$5014,B939)&gt;1,IF(COUNTIF($B$5:B939,B939)&gt;1,"",B939&amp;"-I"),B939)</f>
        <v>1045</v>
      </c>
      <c r="B939" s="29">
        <f t="shared" si="18"/>
        <v>1045</v>
      </c>
      <c r="C939" s="36" t="s">
        <v>1107</v>
      </c>
      <c r="D939" s="53">
        <v>1095</v>
      </c>
      <c r="E939" s="53" t="s">
        <v>833</v>
      </c>
      <c r="F939" s="53" t="s">
        <v>12</v>
      </c>
      <c r="G939" s="54">
        <v>45711</v>
      </c>
      <c r="H939" s="53" t="s">
        <v>1120</v>
      </c>
      <c r="I939" s="53">
        <v>1045</v>
      </c>
      <c r="J939" s="39" t="s">
        <v>33</v>
      </c>
      <c r="K939" s="39" t="s">
        <v>930</v>
      </c>
      <c r="L939" s="39"/>
      <c r="M939" s="37">
        <v>46054</v>
      </c>
      <c r="N939" s="39">
        <v>5.41</v>
      </c>
      <c r="O939" s="40">
        <v>1872</v>
      </c>
    </row>
    <row r="940" spans="1:16" x14ac:dyDescent="0.55000000000000004">
      <c r="A940" s="24">
        <f>IF(COUNTIF(B940:$B$5014,B940)&gt;1,IF(COUNTIF($B$5:B940,B940)&gt;1,"",B940&amp;"-I"),B940)</f>
        <v>1033</v>
      </c>
      <c r="B940" s="29">
        <f t="shared" si="18"/>
        <v>1033</v>
      </c>
      <c r="C940" s="36" t="s">
        <v>1108</v>
      </c>
      <c r="D940" s="53">
        <v>1096</v>
      </c>
      <c r="E940" s="53" t="s">
        <v>833</v>
      </c>
      <c r="F940" s="53" t="s">
        <v>11</v>
      </c>
      <c r="G940" s="54">
        <v>45751</v>
      </c>
      <c r="H940" s="53" t="s">
        <v>1119</v>
      </c>
      <c r="I940" s="53">
        <v>1033</v>
      </c>
      <c r="J940" s="39" t="s">
        <v>33</v>
      </c>
      <c r="K940" s="39" t="s">
        <v>930</v>
      </c>
      <c r="L940" s="39"/>
      <c r="M940" s="37">
        <v>46054</v>
      </c>
      <c r="N940" s="39">
        <v>5.41</v>
      </c>
      <c r="O940" s="40">
        <v>1872</v>
      </c>
    </row>
    <row r="941" spans="1:16" x14ac:dyDescent="0.55000000000000004">
      <c r="A941" s="24">
        <f>IF(COUNTIF(B941:$B$5014,B941)&gt;1,IF(COUNTIF($B$5:B941,B941)&gt;1,"",B941&amp;"-I"),B941)</f>
        <v>1031</v>
      </c>
      <c r="B941" s="29">
        <f t="shared" si="18"/>
        <v>1031</v>
      </c>
      <c r="C941" s="36" t="s">
        <v>1109</v>
      </c>
      <c r="D941" s="53">
        <v>1097</v>
      </c>
      <c r="E941" s="53" t="s">
        <v>833</v>
      </c>
      <c r="F941" s="53" t="s">
        <v>12</v>
      </c>
      <c r="G941" s="54">
        <v>45755</v>
      </c>
      <c r="H941" s="53" t="s">
        <v>1119</v>
      </c>
      <c r="I941" s="53">
        <v>1031</v>
      </c>
      <c r="J941" s="39" t="s">
        <v>33</v>
      </c>
      <c r="K941" s="39" t="s">
        <v>930</v>
      </c>
      <c r="L941" s="39"/>
      <c r="M941" s="39" t="s">
        <v>1188</v>
      </c>
      <c r="N941" s="39">
        <v>5.41</v>
      </c>
      <c r="O941" s="40">
        <v>1872</v>
      </c>
    </row>
    <row r="942" spans="1:16" x14ac:dyDescent="0.55000000000000004">
      <c r="A942" s="24" t="str">
        <f>IF(COUNTIF(B942:$B$5014,B942)&gt;1,IF(COUNTIF($B$5:B942,B942)&gt;1,"",B942&amp;"-I"),B942)</f>
        <v/>
      </c>
      <c r="B942" s="29">
        <f t="shared" si="18"/>
        <v>980</v>
      </c>
      <c r="C942" s="36" t="s">
        <v>1110</v>
      </c>
      <c r="D942" s="53">
        <v>1098</v>
      </c>
      <c r="E942" s="53" t="s">
        <v>833</v>
      </c>
      <c r="F942" s="53" t="s">
        <v>11</v>
      </c>
      <c r="G942" s="54">
        <v>45761</v>
      </c>
      <c r="H942" s="53" t="s">
        <v>1119</v>
      </c>
      <c r="I942" s="53">
        <v>980</v>
      </c>
      <c r="J942" s="39" t="s">
        <v>33</v>
      </c>
      <c r="K942" s="39" t="s">
        <v>930</v>
      </c>
      <c r="L942" s="39"/>
      <c r="M942" s="37">
        <v>46054</v>
      </c>
      <c r="N942" s="39">
        <v>5.41</v>
      </c>
      <c r="O942" s="40">
        <v>1872</v>
      </c>
    </row>
    <row r="943" spans="1:16" x14ac:dyDescent="0.55000000000000004">
      <c r="A943" s="24">
        <f>IF(COUNTIF(B943:$B$5014,B943)&gt;1,IF(COUNTIF($B$5:B943,B943)&gt;1,"",B943&amp;"-I"),B943)</f>
        <v>973</v>
      </c>
      <c r="B943" s="29">
        <f t="shared" si="18"/>
        <v>973</v>
      </c>
      <c r="C943" s="36" t="s">
        <v>1111</v>
      </c>
      <c r="D943" s="53">
        <v>1099</v>
      </c>
      <c r="E943" s="53" t="s">
        <v>833</v>
      </c>
      <c r="F943" s="53" t="s">
        <v>12</v>
      </c>
      <c r="G943" s="54">
        <v>45764</v>
      </c>
      <c r="H943" s="53" t="s">
        <v>1119</v>
      </c>
      <c r="I943" s="53">
        <v>973</v>
      </c>
      <c r="J943" s="39" t="s">
        <v>33</v>
      </c>
      <c r="K943" s="39" t="s">
        <v>930</v>
      </c>
      <c r="L943" s="39"/>
      <c r="M943" s="37">
        <v>46054</v>
      </c>
      <c r="N943" s="39">
        <v>5.41</v>
      </c>
      <c r="O943" s="40">
        <v>1872</v>
      </c>
    </row>
    <row r="944" spans="1:16" x14ac:dyDescent="0.55000000000000004">
      <c r="A944" s="24">
        <f>IF(COUNTIF(B944:$B$5014,B944)&gt;1,IF(COUNTIF($B$5:B944,B944)&gt;1,"",B944&amp;"-I"),B944)</f>
        <v>988</v>
      </c>
      <c r="B944" s="29">
        <f t="shared" si="18"/>
        <v>988</v>
      </c>
      <c r="C944" s="36" t="s">
        <v>1112</v>
      </c>
      <c r="D944" s="53">
        <v>1100</v>
      </c>
      <c r="E944" s="53" t="s">
        <v>833</v>
      </c>
      <c r="F944" s="53" t="s">
        <v>12</v>
      </c>
      <c r="G944" s="54">
        <v>45764</v>
      </c>
      <c r="H944" s="53" t="s">
        <v>1119</v>
      </c>
      <c r="I944" s="53">
        <v>988</v>
      </c>
      <c r="J944" s="39" t="s">
        <v>33</v>
      </c>
      <c r="K944" s="39" t="s">
        <v>930</v>
      </c>
      <c r="L944" s="39"/>
      <c r="M944" s="37">
        <v>46054</v>
      </c>
      <c r="N944" s="39">
        <v>5.41</v>
      </c>
      <c r="O944" s="40">
        <v>1872</v>
      </c>
      <c r="P944" s="100" t="s">
        <v>913</v>
      </c>
    </row>
    <row r="945" spans="1:16" x14ac:dyDescent="0.55000000000000004">
      <c r="A945" s="24">
        <f>IF(COUNTIF(B945:$B$5014,B945)&gt;1,IF(COUNTIF($B$5:B945,B945)&gt;1,"",B945&amp;"-I"),B945)</f>
        <v>1042</v>
      </c>
      <c r="B945" s="29">
        <f t="shared" si="18"/>
        <v>1042</v>
      </c>
      <c r="C945" s="36" t="s">
        <v>1113</v>
      </c>
      <c r="D945" s="53">
        <v>1101</v>
      </c>
      <c r="E945" s="53" t="s">
        <v>833</v>
      </c>
      <c r="F945" s="53" t="s">
        <v>12</v>
      </c>
      <c r="G945" s="54">
        <v>45789</v>
      </c>
      <c r="H945" s="53" t="s">
        <v>1119</v>
      </c>
      <c r="I945" s="53">
        <v>1042</v>
      </c>
      <c r="J945" s="39" t="s">
        <v>33</v>
      </c>
      <c r="K945" s="39" t="s">
        <v>930</v>
      </c>
      <c r="L945" s="39"/>
      <c r="M945" s="37">
        <v>46054</v>
      </c>
      <c r="N945" s="39">
        <v>5.41</v>
      </c>
      <c r="O945" s="40">
        <v>1872</v>
      </c>
    </row>
    <row r="946" spans="1:16" x14ac:dyDescent="0.55000000000000004">
      <c r="A946" s="24">
        <f>IF(COUNTIF(B946:$B$5014,B946)&gt;1,IF(COUNTIF($B$5:B946,B946)&gt;1,"",B946&amp;"-I"),B946)</f>
        <v>984</v>
      </c>
      <c r="B946" s="29">
        <f t="shared" ref="B946:B969" si="19">+I946</f>
        <v>984</v>
      </c>
      <c r="C946" s="36" t="s">
        <v>1114</v>
      </c>
      <c r="D946" s="53">
        <v>1102</v>
      </c>
      <c r="E946" s="53" t="s">
        <v>833</v>
      </c>
      <c r="F946" s="53" t="s">
        <v>12</v>
      </c>
      <c r="G946" s="54">
        <v>45790</v>
      </c>
      <c r="H946" s="53" t="s">
        <v>1119</v>
      </c>
      <c r="I946" s="53">
        <v>984</v>
      </c>
      <c r="J946" s="39" t="s">
        <v>33</v>
      </c>
      <c r="K946" s="39" t="s">
        <v>930</v>
      </c>
      <c r="L946" s="39"/>
      <c r="M946" s="37">
        <v>46054</v>
      </c>
      <c r="N946" s="39">
        <v>5.41</v>
      </c>
      <c r="O946" s="40">
        <v>1872</v>
      </c>
      <c r="P946" s="24" t="s">
        <v>914</v>
      </c>
    </row>
    <row r="947" spans="1:16" x14ac:dyDescent="0.55000000000000004">
      <c r="A947" s="24">
        <f>IF(COUNTIF(B947:$B$5014,B947)&gt;1,IF(COUNTIF($B$5:B947,B947)&gt;1,"",B947&amp;"-I"),B947)</f>
        <v>894</v>
      </c>
      <c r="B947" s="29">
        <f t="shared" si="19"/>
        <v>894</v>
      </c>
      <c r="C947" s="36" t="s">
        <v>1115</v>
      </c>
      <c r="D947" s="53">
        <v>1103</v>
      </c>
      <c r="E947" s="53" t="s">
        <v>833</v>
      </c>
      <c r="F947" s="53" t="s">
        <v>11</v>
      </c>
      <c r="G947" s="54">
        <v>45792</v>
      </c>
      <c r="H947" s="53" t="s">
        <v>1120</v>
      </c>
      <c r="I947" s="53">
        <v>894</v>
      </c>
      <c r="J947" s="39" t="s">
        <v>33</v>
      </c>
      <c r="K947" s="39" t="s">
        <v>930</v>
      </c>
      <c r="L947" s="39"/>
      <c r="M947" s="37">
        <v>46054</v>
      </c>
      <c r="N947" s="39">
        <v>5.41</v>
      </c>
      <c r="O947" s="40"/>
    </row>
    <row r="948" spans="1:16" x14ac:dyDescent="0.55000000000000004">
      <c r="A948" s="24">
        <f>IF(COUNTIF(B948:$B$5014,B948)&gt;1,IF(COUNTIF($B$5:B948,B948)&gt;1,"",B948&amp;"-I"),B948)</f>
        <v>985</v>
      </c>
      <c r="B948" s="29">
        <f t="shared" si="19"/>
        <v>985</v>
      </c>
      <c r="C948" s="36" t="s">
        <v>1116</v>
      </c>
      <c r="D948" s="96">
        <v>1104</v>
      </c>
      <c r="E948" s="72" t="s">
        <v>833</v>
      </c>
      <c r="F948" s="53" t="s">
        <v>11</v>
      </c>
      <c r="G948" s="54">
        <v>45796</v>
      </c>
      <c r="H948" s="53" t="s">
        <v>1120</v>
      </c>
      <c r="I948" s="96">
        <v>985</v>
      </c>
      <c r="J948" s="39" t="s">
        <v>33</v>
      </c>
      <c r="K948" s="47"/>
      <c r="L948" s="47" t="s">
        <v>1189</v>
      </c>
      <c r="M948" s="47"/>
      <c r="N948" s="47"/>
      <c r="O948" s="40"/>
    </row>
    <row r="949" spans="1:16" x14ac:dyDescent="0.55000000000000004">
      <c r="A949" s="24">
        <f>IF(COUNTIF(B949:$B$5014,B949)&gt;1,IF(COUNTIF($B$5:B949,B949)&gt;1,"",B949&amp;"-I"),B949)</f>
        <v>1048</v>
      </c>
      <c r="B949" s="29">
        <f t="shared" si="19"/>
        <v>1048</v>
      </c>
      <c r="C949" s="36" t="s">
        <v>1117</v>
      </c>
      <c r="D949" s="53">
        <v>1105</v>
      </c>
      <c r="E949" s="53" t="s">
        <v>834</v>
      </c>
      <c r="F949" s="53" t="s">
        <v>11</v>
      </c>
      <c r="G949" s="54">
        <v>45797</v>
      </c>
      <c r="H949" s="53" t="s">
        <v>1120</v>
      </c>
      <c r="I949" s="53">
        <v>1048</v>
      </c>
      <c r="J949" s="39" t="s">
        <v>33</v>
      </c>
      <c r="K949" s="39" t="s">
        <v>930</v>
      </c>
      <c r="L949" s="39"/>
      <c r="M949" s="37">
        <v>46054</v>
      </c>
      <c r="N949" s="39">
        <v>5.41</v>
      </c>
      <c r="O949" s="40">
        <v>1872</v>
      </c>
    </row>
    <row r="950" spans="1:16" x14ac:dyDescent="0.55000000000000004">
      <c r="A950" s="24">
        <f>IF(COUNTIF(B950:$B$5014,B950)&gt;1,IF(COUNTIF($B$5:B950,B950)&gt;1,"",B950&amp;"-I"),B950)</f>
        <v>1058</v>
      </c>
      <c r="B950" s="29">
        <f t="shared" si="19"/>
        <v>1058</v>
      </c>
      <c r="C950" s="36" t="s">
        <v>1118</v>
      </c>
      <c r="D950" s="53">
        <v>1106</v>
      </c>
      <c r="E950" s="53" t="s">
        <v>833</v>
      </c>
      <c r="F950" s="53" t="s">
        <v>11</v>
      </c>
      <c r="G950" s="54">
        <v>45809</v>
      </c>
      <c r="H950" s="53" t="s">
        <v>1119</v>
      </c>
      <c r="I950" s="53">
        <v>1058</v>
      </c>
      <c r="J950" s="39" t="s">
        <v>33</v>
      </c>
      <c r="K950" s="39" t="s">
        <v>930</v>
      </c>
      <c r="L950" s="39"/>
      <c r="M950" s="37">
        <v>46054</v>
      </c>
      <c r="N950" s="39">
        <v>5.41</v>
      </c>
      <c r="O950" s="40">
        <v>1872</v>
      </c>
    </row>
    <row r="951" spans="1:16" x14ac:dyDescent="0.55000000000000004">
      <c r="A951" s="24">
        <f>IF(COUNTIF(B951:$B$5014,B951)&gt;1,IF(COUNTIF($B$5:B951,B951)&gt;1,"",B951&amp;"-I"),B951)</f>
        <v>963</v>
      </c>
      <c r="B951" s="29">
        <f t="shared" si="19"/>
        <v>963</v>
      </c>
      <c r="C951" s="36" t="s">
        <v>1123</v>
      </c>
      <c r="D951" s="53">
        <v>1107</v>
      </c>
      <c r="E951" s="53" t="s">
        <v>833</v>
      </c>
      <c r="F951" s="53" t="s">
        <v>11</v>
      </c>
      <c r="G951" s="54">
        <v>45826</v>
      </c>
      <c r="H951" s="53" t="s">
        <v>1119</v>
      </c>
      <c r="I951" s="53">
        <v>963</v>
      </c>
      <c r="J951" s="39" t="s">
        <v>33</v>
      </c>
      <c r="K951" s="39" t="s">
        <v>930</v>
      </c>
      <c r="L951" s="39"/>
      <c r="M951" s="37">
        <v>46054</v>
      </c>
      <c r="N951" s="39">
        <v>5.41</v>
      </c>
      <c r="O951" s="40">
        <v>1872</v>
      </c>
    </row>
    <row r="952" spans="1:16" x14ac:dyDescent="0.55000000000000004">
      <c r="A952" s="24">
        <f>IF(COUNTIF(B952:$B$5014,B952)&gt;1,IF(COUNTIF($B$5:B952,B952)&gt;1,"",B952&amp;"-I"),B952)</f>
        <v>893</v>
      </c>
      <c r="B952" s="29">
        <f t="shared" si="19"/>
        <v>893</v>
      </c>
      <c r="C952" s="36" t="s">
        <v>1124</v>
      </c>
      <c r="D952" s="72">
        <v>1108</v>
      </c>
      <c r="E952" s="53" t="s">
        <v>833</v>
      </c>
      <c r="F952" s="53" t="s">
        <v>11</v>
      </c>
      <c r="G952" s="54">
        <v>45835</v>
      </c>
      <c r="H952" s="53" t="s">
        <v>1120</v>
      </c>
      <c r="I952" s="53">
        <v>893</v>
      </c>
      <c r="J952" s="39" t="s">
        <v>33</v>
      </c>
      <c r="K952" s="47"/>
      <c r="L952" s="47" t="s">
        <v>1190</v>
      </c>
      <c r="M952" s="87"/>
      <c r="N952" s="47" t="s">
        <v>1182</v>
      </c>
      <c r="O952" s="40"/>
    </row>
    <row r="953" spans="1:16" x14ac:dyDescent="0.55000000000000004">
      <c r="A953" s="24">
        <f>IF(COUNTIF(B953:$B$5014,B953)&gt;1,IF(COUNTIF($B$5:B953,B953)&gt;1,"",B953&amp;"-I"),B953)</f>
        <v>1012</v>
      </c>
      <c r="B953" s="29">
        <f t="shared" si="19"/>
        <v>1012</v>
      </c>
      <c r="C953" s="36" t="s">
        <v>1125</v>
      </c>
      <c r="D953" s="53">
        <v>1109</v>
      </c>
      <c r="E953" s="53" t="s">
        <v>833</v>
      </c>
      <c r="F953" s="53" t="s">
        <v>11</v>
      </c>
      <c r="G953" s="54">
        <v>45839</v>
      </c>
      <c r="H953" s="53" t="s">
        <v>1119</v>
      </c>
      <c r="I953" s="53">
        <v>1012</v>
      </c>
      <c r="J953" s="39" t="s">
        <v>33</v>
      </c>
      <c r="K953" s="39" t="s">
        <v>930</v>
      </c>
      <c r="L953" s="39"/>
      <c r="M953" s="37">
        <v>46054</v>
      </c>
      <c r="N953" s="39">
        <v>5.41</v>
      </c>
      <c r="O953" s="40">
        <v>1872</v>
      </c>
    </row>
    <row r="954" spans="1:16" x14ac:dyDescent="0.55000000000000004">
      <c r="A954" s="24">
        <f>IF(COUNTIF(B954:$B$5014,B954)&gt;1,IF(COUNTIF($B$5:B954,B954)&gt;1,"",B954&amp;"-I"),B954)</f>
        <v>1020</v>
      </c>
      <c r="B954" s="29">
        <f t="shared" si="19"/>
        <v>1020</v>
      </c>
      <c r="C954" s="36" t="s">
        <v>1126</v>
      </c>
      <c r="D954" s="53">
        <v>1110</v>
      </c>
      <c r="E954" s="53" t="s">
        <v>833</v>
      </c>
      <c r="F954" s="53" t="s">
        <v>11</v>
      </c>
      <c r="G954" s="54">
        <v>45840</v>
      </c>
      <c r="H954" s="53" t="s">
        <v>1120</v>
      </c>
      <c r="I954" s="53">
        <v>1020</v>
      </c>
      <c r="J954" s="39" t="s">
        <v>33</v>
      </c>
      <c r="K954" s="39" t="s">
        <v>930</v>
      </c>
      <c r="L954" s="39"/>
      <c r="M954" s="37">
        <v>46054</v>
      </c>
      <c r="N954" s="39">
        <v>5.41</v>
      </c>
      <c r="O954" s="40">
        <v>1872</v>
      </c>
    </row>
    <row r="955" spans="1:16" x14ac:dyDescent="0.55000000000000004">
      <c r="A955" s="24">
        <f>IF(COUNTIF(B955:$B$5014,B955)&gt;1,IF(COUNTIF($B$5:B955,B955)&gt;1,"",B955&amp;"-I"),B955)</f>
        <v>1061</v>
      </c>
      <c r="B955" s="29">
        <f t="shared" si="19"/>
        <v>1061</v>
      </c>
      <c r="C955" s="36" t="s">
        <v>1127</v>
      </c>
      <c r="D955" s="53">
        <v>1111</v>
      </c>
      <c r="E955" s="53" t="s">
        <v>833</v>
      </c>
      <c r="F955" s="53" t="s">
        <v>12</v>
      </c>
      <c r="G955" s="54">
        <v>45844</v>
      </c>
      <c r="H955" s="53" t="s">
        <v>1120</v>
      </c>
      <c r="I955" s="53">
        <v>1061</v>
      </c>
      <c r="J955" s="39" t="s">
        <v>33</v>
      </c>
      <c r="K955" s="39" t="s">
        <v>930</v>
      </c>
      <c r="L955" s="39"/>
      <c r="M955" s="37">
        <v>46054</v>
      </c>
      <c r="N955" s="39">
        <v>5.41</v>
      </c>
      <c r="O955" s="40">
        <v>1872</v>
      </c>
    </row>
    <row r="956" spans="1:16" x14ac:dyDescent="0.55000000000000004">
      <c r="A956" s="24">
        <f>IF(COUNTIF(B956:$B$5014,B956)&gt;1,IF(COUNTIF($B$5:B956,B956)&gt;1,"",B956&amp;"-I"),B956)</f>
        <v>958</v>
      </c>
      <c r="B956" s="29">
        <f t="shared" si="19"/>
        <v>958</v>
      </c>
      <c r="C956" s="36" t="s">
        <v>1128</v>
      </c>
      <c r="D956" s="53">
        <v>1112</v>
      </c>
      <c r="E956" s="53" t="s">
        <v>833</v>
      </c>
      <c r="F956" s="53" t="s">
        <v>12</v>
      </c>
      <c r="G956" s="54">
        <v>45851</v>
      </c>
      <c r="H956" s="53" t="s">
        <v>1120</v>
      </c>
      <c r="I956" s="53">
        <v>958</v>
      </c>
      <c r="J956" s="39" t="s">
        <v>33</v>
      </c>
      <c r="K956" s="39" t="s">
        <v>930</v>
      </c>
      <c r="L956" s="39"/>
      <c r="M956" s="37">
        <v>46054</v>
      </c>
      <c r="N956" s="39">
        <v>5.41</v>
      </c>
      <c r="O956" s="40">
        <v>1872</v>
      </c>
    </row>
    <row r="957" spans="1:16" x14ac:dyDescent="0.55000000000000004">
      <c r="A957" s="24">
        <f>IF(COUNTIF(B957:$B$5014,B957)&gt;1,IF(COUNTIF($B$5:B957,B957)&gt;1,"",B957&amp;"-I"),B957)</f>
        <v>957</v>
      </c>
      <c r="B957" s="29">
        <f t="shared" si="19"/>
        <v>957</v>
      </c>
      <c r="C957" s="36" t="s">
        <v>1129</v>
      </c>
      <c r="D957" s="53">
        <v>1113</v>
      </c>
      <c r="E957" s="53" t="s">
        <v>833</v>
      </c>
      <c r="F957" s="53" t="s">
        <v>11</v>
      </c>
      <c r="G957" s="54">
        <v>45858</v>
      </c>
      <c r="H957" s="53" t="s">
        <v>1119</v>
      </c>
      <c r="I957" s="53">
        <v>957</v>
      </c>
      <c r="J957" s="39" t="s">
        <v>33</v>
      </c>
      <c r="K957" s="39" t="s">
        <v>930</v>
      </c>
      <c r="L957" s="39"/>
      <c r="M957" s="37">
        <v>46054</v>
      </c>
      <c r="N957" s="39">
        <v>5.41</v>
      </c>
      <c r="O957" s="40">
        <v>1872</v>
      </c>
    </row>
    <row r="958" spans="1:16" x14ac:dyDescent="0.55000000000000004">
      <c r="A958" s="24">
        <f>IF(COUNTIF(B958:$B$5014,B958)&gt;1,IF(COUNTIF($B$5:B958,B958)&gt;1,"",B958&amp;"-I"),B958)</f>
        <v>993</v>
      </c>
      <c r="B958" s="29">
        <f t="shared" si="19"/>
        <v>993</v>
      </c>
      <c r="C958" s="36" t="s">
        <v>1130</v>
      </c>
      <c r="D958" s="53">
        <v>1114</v>
      </c>
      <c r="E958" s="53" t="s">
        <v>833</v>
      </c>
      <c r="F958" s="53" t="s">
        <v>11</v>
      </c>
      <c r="G958" s="54">
        <v>45866</v>
      </c>
      <c r="H958" s="53" t="s">
        <v>1119</v>
      </c>
      <c r="I958" s="53">
        <v>993</v>
      </c>
      <c r="J958" s="39" t="s">
        <v>33</v>
      </c>
      <c r="K958" s="39" t="s">
        <v>930</v>
      </c>
      <c r="L958" s="39"/>
      <c r="M958" s="37">
        <v>46054</v>
      </c>
      <c r="N958" s="39">
        <v>5.41</v>
      </c>
      <c r="O958" s="40">
        <v>1872</v>
      </c>
    </row>
    <row r="959" spans="1:16" x14ac:dyDescent="0.55000000000000004">
      <c r="A959" s="24">
        <f>IF(COUNTIF(B959:$B$5014,B959)&gt;1,IF(COUNTIF($B$5:B959,B959)&gt;1,"",B959&amp;"-I"),B959)</f>
        <v>1054</v>
      </c>
      <c r="B959" s="29">
        <f t="shared" si="19"/>
        <v>1054</v>
      </c>
      <c r="C959" s="36" t="s">
        <v>1131</v>
      </c>
      <c r="D959" s="53">
        <v>1115</v>
      </c>
      <c r="E959" s="53" t="s">
        <v>833</v>
      </c>
      <c r="F959" s="53" t="s">
        <v>11</v>
      </c>
      <c r="G959" s="54">
        <v>45866</v>
      </c>
      <c r="H959" s="53" t="s">
        <v>1120</v>
      </c>
      <c r="I959" s="53">
        <v>1054</v>
      </c>
      <c r="J959" s="39" t="s">
        <v>33</v>
      </c>
      <c r="K959" s="39" t="s">
        <v>930</v>
      </c>
      <c r="L959" s="39"/>
      <c r="M959" s="39" t="s">
        <v>1192</v>
      </c>
      <c r="N959" s="39">
        <v>5.41</v>
      </c>
      <c r="O959" s="40">
        <v>1872</v>
      </c>
    </row>
    <row r="960" spans="1:16" x14ac:dyDescent="0.55000000000000004">
      <c r="A960" s="24">
        <f>IF(COUNTIF(B960:$B$5014,B960)&gt;1,IF(COUNTIF($B$5:B960,B960)&gt;1,"",B960&amp;"-I"),B960)</f>
        <v>959</v>
      </c>
      <c r="B960" s="29">
        <f t="shared" si="19"/>
        <v>959</v>
      </c>
      <c r="C960" s="36" t="s">
        <v>1132</v>
      </c>
      <c r="D960" s="53">
        <v>1116</v>
      </c>
      <c r="E960" s="53" t="s">
        <v>833</v>
      </c>
      <c r="F960" s="53" t="s">
        <v>12</v>
      </c>
      <c r="G960" s="54">
        <v>45866</v>
      </c>
      <c r="H960" s="53" t="s">
        <v>1120</v>
      </c>
      <c r="I960" s="53">
        <v>959</v>
      </c>
      <c r="J960" s="39" t="s">
        <v>33</v>
      </c>
      <c r="K960" s="39" t="s">
        <v>930</v>
      </c>
      <c r="L960" s="39"/>
      <c r="M960" s="37">
        <v>46054</v>
      </c>
      <c r="N960" s="39">
        <v>5.41</v>
      </c>
      <c r="O960" s="40">
        <v>1872</v>
      </c>
    </row>
    <row r="961" spans="1:16" x14ac:dyDescent="0.55000000000000004">
      <c r="A961" s="24">
        <f>IF(COUNTIF(B961:$B$5014,B961)&gt;1,IF(COUNTIF($B$5:B961,B961)&gt;1,"",B961&amp;"-I"),B961)</f>
        <v>1030</v>
      </c>
      <c r="B961" s="29">
        <f t="shared" si="19"/>
        <v>1030</v>
      </c>
      <c r="C961" s="36" t="s">
        <v>1133</v>
      </c>
      <c r="D961" s="53">
        <v>1117</v>
      </c>
      <c r="E961" s="53" t="s">
        <v>833</v>
      </c>
      <c r="F961" s="53" t="s">
        <v>12</v>
      </c>
      <c r="G961" s="54">
        <v>45870</v>
      </c>
      <c r="H961" s="53" t="s">
        <v>1119</v>
      </c>
      <c r="I961" s="53">
        <v>1030</v>
      </c>
      <c r="J961" s="39" t="s">
        <v>33</v>
      </c>
      <c r="K961" s="39" t="s">
        <v>930</v>
      </c>
      <c r="L961" s="39"/>
      <c r="M961" s="37">
        <v>46054</v>
      </c>
      <c r="N961" s="39">
        <v>5.41</v>
      </c>
      <c r="O961" s="40">
        <v>1872</v>
      </c>
    </row>
    <row r="962" spans="1:16" x14ac:dyDescent="0.55000000000000004">
      <c r="A962" s="24">
        <f>IF(COUNTIF(B962:$B$5014,B962)&gt;1,IF(COUNTIF($B$5:B962,B962)&gt;1,"",B962&amp;"-I"),B962)</f>
        <v>1010</v>
      </c>
      <c r="B962" s="29">
        <f t="shared" si="19"/>
        <v>1010</v>
      </c>
      <c r="C962" s="36" t="s">
        <v>1134</v>
      </c>
      <c r="D962" s="53">
        <v>1118</v>
      </c>
      <c r="E962" s="53" t="s">
        <v>833</v>
      </c>
      <c r="F962" s="53" t="s">
        <v>12</v>
      </c>
      <c r="G962" s="54">
        <v>45879</v>
      </c>
      <c r="H962" s="53" t="s">
        <v>1120</v>
      </c>
      <c r="I962" s="53">
        <v>1010</v>
      </c>
      <c r="J962" s="39" t="s">
        <v>33</v>
      </c>
      <c r="K962" s="39" t="s">
        <v>930</v>
      </c>
      <c r="L962" s="39"/>
      <c r="M962" s="37">
        <v>46054</v>
      </c>
      <c r="N962" s="39">
        <v>5.41</v>
      </c>
      <c r="O962" s="40">
        <v>1872</v>
      </c>
    </row>
    <row r="963" spans="1:16" x14ac:dyDescent="0.55000000000000004">
      <c r="A963" s="24">
        <f>IF(COUNTIF(B963:$B$5014,B963)&gt;1,IF(COUNTIF($B$5:B963,B963)&gt;1,"",B963&amp;"-I"),B963)</f>
        <v>899</v>
      </c>
      <c r="B963" s="29">
        <f t="shared" si="19"/>
        <v>899</v>
      </c>
      <c r="C963" s="36" t="s">
        <v>1135</v>
      </c>
      <c r="D963" s="53">
        <v>1119</v>
      </c>
      <c r="E963" s="53" t="s">
        <v>833</v>
      </c>
      <c r="F963" s="53" t="s">
        <v>12</v>
      </c>
      <c r="G963" s="54">
        <v>45881</v>
      </c>
      <c r="H963" s="53" t="s">
        <v>1119</v>
      </c>
      <c r="I963" s="53">
        <v>899</v>
      </c>
      <c r="J963" s="39" t="s">
        <v>33</v>
      </c>
      <c r="K963" s="39" t="s">
        <v>930</v>
      </c>
      <c r="L963" s="39"/>
      <c r="M963" s="37">
        <v>45323</v>
      </c>
      <c r="N963" s="39">
        <v>5.41</v>
      </c>
      <c r="O963" s="40">
        <v>1872</v>
      </c>
    </row>
    <row r="964" spans="1:16" x14ac:dyDescent="0.55000000000000004">
      <c r="A964" s="24">
        <f>IF(COUNTIF(B964:$B$5014,B964)&gt;1,IF(COUNTIF($B$5:B964,B964)&gt;1,"",B964&amp;"-I"),B964)</f>
        <v>956</v>
      </c>
      <c r="B964" s="29">
        <f t="shared" si="19"/>
        <v>956</v>
      </c>
      <c r="C964" s="36" t="s">
        <v>1136</v>
      </c>
      <c r="D964" s="53">
        <v>1120</v>
      </c>
      <c r="E964" s="53" t="s">
        <v>833</v>
      </c>
      <c r="F964" s="53" t="s">
        <v>12</v>
      </c>
      <c r="G964" s="54">
        <v>45889</v>
      </c>
      <c r="H964" s="53" t="s">
        <v>1120</v>
      </c>
      <c r="I964" s="53">
        <v>956</v>
      </c>
      <c r="J964" s="39" t="s">
        <v>33</v>
      </c>
      <c r="K964" s="39" t="s">
        <v>930</v>
      </c>
      <c r="L964" s="39"/>
      <c r="M964" s="37">
        <v>46054</v>
      </c>
      <c r="N964" s="39">
        <v>5.41</v>
      </c>
      <c r="O964" s="40">
        <v>1872</v>
      </c>
    </row>
    <row r="965" spans="1:16" x14ac:dyDescent="0.55000000000000004">
      <c r="A965" s="24">
        <f>IF(COUNTIF(B965:$B$5014,B965)&gt;1,IF(COUNTIF($B$5:B965,B965)&gt;1,"",B965&amp;"-I"),B965)</f>
        <v>1060</v>
      </c>
      <c r="B965" s="29">
        <f t="shared" si="19"/>
        <v>1060</v>
      </c>
      <c r="C965" s="36" t="s">
        <v>1137</v>
      </c>
      <c r="D965" s="53">
        <v>1121</v>
      </c>
      <c r="E965" s="53" t="s">
        <v>833</v>
      </c>
      <c r="F965" s="53" t="s">
        <v>11</v>
      </c>
      <c r="G965" s="54">
        <v>45890</v>
      </c>
      <c r="H965" s="53" t="s">
        <v>1120</v>
      </c>
      <c r="I965" s="53">
        <v>1060</v>
      </c>
      <c r="J965" s="39" t="s">
        <v>33</v>
      </c>
      <c r="K965" s="39" t="s">
        <v>930</v>
      </c>
      <c r="L965" s="39"/>
      <c r="M965" s="37">
        <v>46054</v>
      </c>
      <c r="N965" s="39">
        <v>5.41</v>
      </c>
      <c r="O965" s="40">
        <v>1872</v>
      </c>
      <c r="P965" s="24" t="s">
        <v>914</v>
      </c>
    </row>
    <row r="966" spans="1:16" x14ac:dyDescent="0.55000000000000004">
      <c r="A966" s="24">
        <f>IF(COUNTIF(B966:$B$5014,B966)&gt;1,IF(COUNTIF($B$5:B966,B966)&gt;1,"",B966&amp;"-I"),B966)</f>
        <v>1056</v>
      </c>
      <c r="B966" s="29">
        <f t="shared" si="19"/>
        <v>1056</v>
      </c>
      <c r="C966" s="36" t="s">
        <v>1138</v>
      </c>
      <c r="D966" s="53">
        <v>1122</v>
      </c>
      <c r="E966" s="53" t="s">
        <v>833</v>
      </c>
      <c r="F966" s="53" t="s">
        <v>11</v>
      </c>
      <c r="G966" s="54">
        <v>45898</v>
      </c>
      <c r="H966" s="53" t="s">
        <v>1119</v>
      </c>
      <c r="I966" s="53">
        <v>1056</v>
      </c>
      <c r="J966" s="39" t="s">
        <v>33</v>
      </c>
      <c r="K966" s="39" t="s">
        <v>930</v>
      </c>
      <c r="L966" s="39"/>
      <c r="M966" s="37">
        <v>46054</v>
      </c>
      <c r="N966" s="39">
        <v>5.41</v>
      </c>
      <c r="O966" s="40">
        <v>1872</v>
      </c>
    </row>
    <row r="967" spans="1:16" x14ac:dyDescent="0.55000000000000004">
      <c r="A967" s="24">
        <f>IF(COUNTIF(B967:$B$5014,B967)&gt;1,IF(COUNTIF($B$5:B967,B967)&gt;1,"",B967&amp;"-I"),B967)</f>
        <v>1024</v>
      </c>
      <c r="B967" s="29">
        <f t="shared" si="19"/>
        <v>1024</v>
      </c>
      <c r="C967" s="36" t="s">
        <v>1139</v>
      </c>
      <c r="D967" s="53">
        <v>1123</v>
      </c>
      <c r="E967" s="53" t="s">
        <v>833</v>
      </c>
      <c r="F967" s="53" t="s">
        <v>12</v>
      </c>
      <c r="G967" s="54">
        <v>45905</v>
      </c>
      <c r="H967" s="53" t="s">
        <v>1120</v>
      </c>
      <c r="I967" s="53">
        <v>1024</v>
      </c>
      <c r="J967" s="39" t="s">
        <v>33</v>
      </c>
      <c r="K967" s="39" t="s">
        <v>930</v>
      </c>
      <c r="L967" s="39"/>
      <c r="M967" s="37">
        <v>46054</v>
      </c>
      <c r="N967" s="39">
        <v>5.41</v>
      </c>
      <c r="O967" s="40">
        <v>1872</v>
      </c>
    </row>
    <row r="968" spans="1:16" x14ac:dyDescent="0.55000000000000004">
      <c r="A968" s="24">
        <f>IF(COUNTIF(B968:$B$5014,B968)&gt;1,IF(COUNTIF($B$5:B968,B968)&gt;1,"",B968&amp;"-I"),B968)</f>
        <v>1028</v>
      </c>
      <c r="B968" s="29">
        <f t="shared" si="19"/>
        <v>1028</v>
      </c>
      <c r="C968" s="36" t="s">
        <v>1140</v>
      </c>
      <c r="D968" s="53">
        <v>1124</v>
      </c>
      <c r="E968" s="53" t="s">
        <v>833</v>
      </c>
      <c r="F968" s="53" t="s">
        <v>12</v>
      </c>
      <c r="G968" s="54">
        <v>45907</v>
      </c>
      <c r="H968" s="53">
        <v>1043</v>
      </c>
      <c r="I968" s="53">
        <v>1028</v>
      </c>
      <c r="J968" s="39" t="s">
        <v>33</v>
      </c>
      <c r="K968" s="39" t="s">
        <v>930</v>
      </c>
      <c r="L968" s="39"/>
      <c r="M968" s="37">
        <v>46054</v>
      </c>
      <c r="N968" s="39">
        <v>5.41</v>
      </c>
      <c r="O968" s="40">
        <v>1872</v>
      </c>
    </row>
    <row r="969" spans="1:16" x14ac:dyDescent="0.55000000000000004">
      <c r="A969" s="24">
        <f>IF(COUNTIF(B969:$B$5014,B969)&gt;1,IF(COUNTIF($B$5:B969,B969)&gt;1,"",B969&amp;"-I"),B969)</f>
        <v>1025</v>
      </c>
      <c r="B969" s="29">
        <f t="shared" si="19"/>
        <v>1025</v>
      </c>
      <c r="C969" s="36" t="s">
        <v>1141</v>
      </c>
      <c r="D969" s="53">
        <v>1125</v>
      </c>
      <c r="E969" s="53" t="s">
        <v>833</v>
      </c>
      <c r="F969" s="53" t="s">
        <v>11</v>
      </c>
      <c r="G969" s="54">
        <v>45907</v>
      </c>
      <c r="H969" s="53">
        <v>1043</v>
      </c>
      <c r="I969" s="53">
        <v>1025</v>
      </c>
      <c r="J969" s="39" t="s">
        <v>33</v>
      </c>
      <c r="K969" s="39"/>
      <c r="L969" s="39"/>
      <c r="M969" s="39"/>
      <c r="N969" s="39"/>
      <c r="O969" s="40"/>
    </row>
    <row r="970" spans="1:16" x14ac:dyDescent="0.55000000000000004">
      <c r="A970" s="24">
        <f>IF(COUNTIF(B970:$B$5014,B970)&gt;1,IF(COUNTIF($B$5:B970,B970)&gt;1,"",B970&amp;"-I"),B970)</f>
        <v>1043</v>
      </c>
      <c r="B970" s="29">
        <f t="shared" ref="B970:B1013" si="20">+I970</f>
        <v>1043</v>
      </c>
      <c r="C970" s="36">
        <v>972</v>
      </c>
      <c r="D970" s="53">
        <v>1126</v>
      </c>
      <c r="E970" s="53" t="s">
        <v>833</v>
      </c>
      <c r="F970" s="53" t="s">
        <v>12</v>
      </c>
      <c r="G970" s="54">
        <v>45910</v>
      </c>
      <c r="H970" s="53" t="s">
        <v>1119</v>
      </c>
      <c r="I970" s="53">
        <v>1043</v>
      </c>
      <c r="J970" s="39" t="s">
        <v>33</v>
      </c>
      <c r="K970" s="39"/>
      <c r="L970" s="39"/>
      <c r="M970" s="39"/>
      <c r="N970" s="39"/>
      <c r="O970" s="40"/>
    </row>
    <row r="971" spans="1:16" x14ac:dyDescent="0.55000000000000004">
      <c r="A971" s="24">
        <f>IF(COUNTIF(B971:$B$5014,B971)&gt;1,IF(COUNTIF($B$5:B971,B971)&gt;1,"",B971&amp;"-I"),B971)</f>
        <v>992</v>
      </c>
      <c r="B971" s="29">
        <f t="shared" si="20"/>
        <v>992</v>
      </c>
      <c r="C971" s="36">
        <v>973</v>
      </c>
      <c r="D971" s="53">
        <v>1127</v>
      </c>
      <c r="E971" s="53" t="s">
        <v>833</v>
      </c>
      <c r="F971" s="53" t="s">
        <v>12</v>
      </c>
      <c r="G971" s="34">
        <v>45914</v>
      </c>
      <c r="H971" s="53" t="s">
        <v>1119</v>
      </c>
      <c r="I971" s="53">
        <v>992</v>
      </c>
      <c r="J971" s="53" t="s">
        <v>33</v>
      </c>
      <c r="K971" s="39"/>
      <c r="L971" s="39"/>
      <c r="M971" s="53"/>
      <c r="N971" s="53"/>
      <c r="O971" s="53"/>
    </row>
    <row r="972" spans="1:16" x14ac:dyDescent="0.55000000000000004">
      <c r="A972" s="24">
        <f>IF(COUNTIF(B972:$B$5014,B972)&gt;1,IF(COUNTIF($B$5:B972,B972)&gt;1,"",B972&amp;"-I"),B972)</f>
        <v>1037</v>
      </c>
      <c r="B972" s="29">
        <f t="shared" si="20"/>
        <v>1037</v>
      </c>
      <c r="C972" s="36">
        <v>974</v>
      </c>
      <c r="D972" s="53">
        <v>1128</v>
      </c>
      <c r="E972" s="53" t="s">
        <v>833</v>
      </c>
      <c r="F972" s="53" t="s">
        <v>11</v>
      </c>
      <c r="G972" s="34">
        <v>45915</v>
      </c>
      <c r="H972" s="53" t="s">
        <v>1120</v>
      </c>
      <c r="I972" s="53">
        <v>1037</v>
      </c>
      <c r="J972" s="53" t="s">
        <v>33</v>
      </c>
      <c r="K972" s="39"/>
      <c r="L972" s="39"/>
      <c r="M972" s="53"/>
      <c r="N972" s="53"/>
      <c r="O972" s="53"/>
    </row>
    <row r="973" spans="1:16" x14ac:dyDescent="0.55000000000000004">
      <c r="A973" s="24">
        <f>IF(COUNTIF(B973:$B$5014,B973)&gt;1,IF(COUNTIF($B$5:B973,B973)&gt;1,"",B973&amp;"-I"),B973)</f>
        <v>1052</v>
      </c>
      <c r="B973" s="29">
        <f t="shared" si="20"/>
        <v>1052</v>
      </c>
      <c r="C973" s="36">
        <v>975</v>
      </c>
      <c r="D973" s="53">
        <v>1129</v>
      </c>
      <c r="E973" s="53" t="s">
        <v>833</v>
      </c>
      <c r="F973" s="53" t="s">
        <v>11</v>
      </c>
      <c r="G973" s="34">
        <v>45919</v>
      </c>
      <c r="H973" s="53" t="s">
        <v>1120</v>
      </c>
      <c r="I973" s="53">
        <v>1052</v>
      </c>
      <c r="J973" s="53" t="s">
        <v>33</v>
      </c>
      <c r="K973" s="39"/>
      <c r="L973" s="39"/>
      <c r="M973" s="53"/>
      <c r="N973" s="53"/>
      <c r="O973" s="53"/>
    </row>
    <row r="974" spans="1:16" x14ac:dyDescent="0.55000000000000004">
      <c r="A974" s="24">
        <f>IF(COUNTIF(B974:$B$5014,B974)&gt;1,IF(COUNTIF($B$5:B974,B974)&gt;1,"",B974&amp;"-I"),B974)</f>
        <v>1009</v>
      </c>
      <c r="B974" s="29">
        <f t="shared" si="20"/>
        <v>1009</v>
      </c>
      <c r="C974" s="36">
        <v>976</v>
      </c>
      <c r="D974" s="53">
        <v>1130</v>
      </c>
      <c r="E974" s="53" t="s">
        <v>833</v>
      </c>
      <c r="F974" s="53" t="s">
        <v>11</v>
      </c>
      <c r="G974" s="34">
        <v>45923</v>
      </c>
      <c r="H974" s="53" t="s">
        <v>1120</v>
      </c>
      <c r="I974" s="53">
        <v>1009</v>
      </c>
      <c r="J974" s="53" t="s">
        <v>33</v>
      </c>
      <c r="K974" s="39"/>
      <c r="L974" s="39"/>
      <c r="M974" s="53"/>
      <c r="N974" s="53"/>
      <c r="O974" s="53"/>
    </row>
    <row r="975" spans="1:16" x14ac:dyDescent="0.55000000000000004">
      <c r="A975" s="24">
        <f>IF(COUNTIF(B975:$B$5014,B975)&gt;1,IF(COUNTIF($B$5:B975,B975)&gt;1,"",B975&amp;"-I"),B975)</f>
        <v>1040</v>
      </c>
      <c r="B975" s="29">
        <f t="shared" si="20"/>
        <v>1040</v>
      </c>
      <c r="C975" s="36">
        <v>977</v>
      </c>
      <c r="D975" s="53">
        <v>1131</v>
      </c>
      <c r="E975" s="53" t="s">
        <v>833</v>
      </c>
      <c r="F975" s="53" t="s">
        <v>857</v>
      </c>
      <c r="G975" s="34">
        <v>45927</v>
      </c>
      <c r="H975" s="53" t="s">
        <v>1119</v>
      </c>
      <c r="I975" s="53">
        <v>1040</v>
      </c>
      <c r="J975" s="53" t="s">
        <v>33</v>
      </c>
      <c r="K975" s="39"/>
      <c r="L975" s="39"/>
      <c r="M975" s="53"/>
      <c r="N975" s="53"/>
      <c r="O975" s="53"/>
    </row>
    <row r="976" spans="1:16" x14ac:dyDescent="0.55000000000000004">
      <c r="A976" s="24">
        <f>IF(COUNTIF(B976:$B$5014,B976)&gt;1,IF(COUNTIF($B$5:B976,B976)&gt;1,"",B976&amp;"-I"),B976)</f>
        <v>1039</v>
      </c>
      <c r="B976" s="29">
        <f t="shared" si="20"/>
        <v>1039</v>
      </c>
      <c r="C976" s="36">
        <v>978</v>
      </c>
      <c r="D976" s="53">
        <v>1132</v>
      </c>
      <c r="E976" s="53" t="s">
        <v>833</v>
      </c>
      <c r="F976" s="53" t="s">
        <v>11</v>
      </c>
      <c r="G976" s="34">
        <v>45929</v>
      </c>
      <c r="H976" s="53" t="s">
        <v>1120</v>
      </c>
      <c r="I976" s="53">
        <v>1039</v>
      </c>
      <c r="J976" s="53" t="s">
        <v>33</v>
      </c>
      <c r="K976" s="39"/>
      <c r="L976" s="39"/>
      <c r="M976" s="53"/>
      <c r="N976" s="53"/>
      <c r="O976" s="53"/>
    </row>
    <row r="977" spans="1:15" x14ac:dyDescent="0.55000000000000004">
      <c r="A977" s="24">
        <f>IF(COUNTIF(B977:$B$5014,B977)&gt;1,IF(COUNTIF($B$5:B977,B977)&gt;1,"",B977&amp;"-I"),B977)</f>
        <v>1029</v>
      </c>
      <c r="B977" s="29">
        <f t="shared" si="20"/>
        <v>1029</v>
      </c>
      <c r="C977" s="36">
        <v>979</v>
      </c>
      <c r="D977" s="53">
        <v>1133</v>
      </c>
      <c r="E977" s="53" t="s">
        <v>833</v>
      </c>
      <c r="F977" s="53" t="s">
        <v>12</v>
      </c>
      <c r="G977" s="34">
        <v>45931</v>
      </c>
      <c r="H977" s="53" t="s">
        <v>1120</v>
      </c>
      <c r="I977" s="53">
        <v>1029</v>
      </c>
      <c r="J977" s="53" t="s">
        <v>33</v>
      </c>
      <c r="K977" s="39"/>
      <c r="L977" s="39"/>
      <c r="M977" s="53"/>
      <c r="N977" s="53"/>
      <c r="O977" s="53"/>
    </row>
    <row r="978" spans="1:15" x14ac:dyDescent="0.55000000000000004">
      <c r="A978" s="24">
        <f>IF(COUNTIF(B978:$B$5014,B978)&gt;1,IF(COUNTIF($B$5:B978,B978)&gt;1,"",B978&amp;"-I"),B978)</f>
        <v>964</v>
      </c>
      <c r="B978" s="29">
        <f t="shared" si="20"/>
        <v>964</v>
      </c>
      <c r="C978" s="36">
        <v>980</v>
      </c>
      <c r="D978" s="53">
        <v>1134</v>
      </c>
      <c r="E978" s="53" t="s">
        <v>833</v>
      </c>
      <c r="F978" s="53" t="s">
        <v>11</v>
      </c>
      <c r="G978" s="34">
        <v>45942</v>
      </c>
      <c r="H978" s="53" t="s">
        <v>1120</v>
      </c>
      <c r="I978" s="53">
        <v>964</v>
      </c>
      <c r="J978" s="53" t="s">
        <v>33</v>
      </c>
      <c r="K978" s="53"/>
      <c r="L978" s="39"/>
      <c r="M978" s="53"/>
      <c r="N978" s="53"/>
      <c r="O978" s="53"/>
    </row>
    <row r="979" spans="1:15" x14ac:dyDescent="0.55000000000000004">
      <c r="A979" s="24">
        <f>IF(COUNTIF(B979:$B$5014,B979)&gt;1,IF(COUNTIF($B$5:B979,B979)&gt;1,"",B979&amp;"-I"),B979)</f>
        <v>1038</v>
      </c>
      <c r="B979" s="29">
        <f t="shared" si="20"/>
        <v>1038</v>
      </c>
      <c r="C979" s="36">
        <v>981</v>
      </c>
      <c r="D979" s="53">
        <v>1135</v>
      </c>
      <c r="E979" s="53" t="s">
        <v>833</v>
      </c>
      <c r="F979" s="53" t="s">
        <v>12</v>
      </c>
      <c r="G979" s="34">
        <v>45943</v>
      </c>
      <c r="H979" s="53" t="s">
        <v>1120</v>
      </c>
      <c r="I979" s="36">
        <v>1038</v>
      </c>
      <c r="J979" s="53" t="s">
        <v>33</v>
      </c>
      <c r="K979" s="53"/>
      <c r="L979" s="39"/>
      <c r="M979" s="53"/>
      <c r="N979" s="53"/>
      <c r="O979" s="53"/>
    </row>
    <row r="980" spans="1:15" x14ac:dyDescent="0.55000000000000004">
      <c r="A980" s="24">
        <f>IF(COUNTIF(B980:$B$5014,B980)&gt;1,IF(COUNTIF($B$5:B980,B980)&gt;1,"",B980&amp;"-I"),B980)</f>
        <v>867</v>
      </c>
      <c r="B980" s="29">
        <f t="shared" si="20"/>
        <v>867</v>
      </c>
      <c r="C980" s="36">
        <v>982</v>
      </c>
      <c r="D980" s="53">
        <v>1136</v>
      </c>
      <c r="E980" s="53" t="s">
        <v>833</v>
      </c>
      <c r="F980" s="53" t="s">
        <v>11</v>
      </c>
      <c r="G980" s="34">
        <v>45944</v>
      </c>
      <c r="H980" s="53" t="s">
        <v>1119</v>
      </c>
      <c r="I980" s="53">
        <v>867</v>
      </c>
      <c r="J980" s="53" t="s">
        <v>33</v>
      </c>
      <c r="K980" s="53"/>
      <c r="L980" s="39"/>
      <c r="M980" s="53"/>
      <c r="N980" s="53"/>
      <c r="O980" s="53"/>
    </row>
    <row r="981" spans="1:15" x14ac:dyDescent="0.55000000000000004">
      <c r="A981" s="24">
        <f>IF(COUNTIF(B981:$B$5014,B981)&gt;1,IF(COUNTIF($B$5:B981,B981)&gt;1,"",B981&amp;"-I"),B981)</f>
        <v>1051</v>
      </c>
      <c r="B981" s="29">
        <f t="shared" si="20"/>
        <v>1051</v>
      </c>
      <c r="C981" s="36">
        <v>983</v>
      </c>
      <c r="D981" s="53">
        <v>1137</v>
      </c>
      <c r="E981" s="53" t="s">
        <v>833</v>
      </c>
      <c r="F981" s="53" t="s">
        <v>12</v>
      </c>
      <c r="G981" s="34">
        <v>45946</v>
      </c>
      <c r="H981" s="53" t="s">
        <v>1119</v>
      </c>
      <c r="I981" s="53">
        <v>1051</v>
      </c>
      <c r="J981" s="53" t="s">
        <v>33</v>
      </c>
      <c r="K981" s="53"/>
      <c r="L981" s="39"/>
      <c r="M981" s="53"/>
      <c r="N981" s="53"/>
      <c r="O981" s="53"/>
    </row>
    <row r="982" spans="1:15" x14ac:dyDescent="0.55000000000000004">
      <c r="A982" s="24">
        <f>IF(COUNTIF(B982:$B$5014,B982)&gt;1,IF(COUNTIF($B$5:B982,B982)&gt;1,"",B982&amp;"-I"),B982)</f>
        <v>1011</v>
      </c>
      <c r="B982" s="29">
        <f t="shared" si="20"/>
        <v>1011</v>
      </c>
      <c r="C982" s="36">
        <v>984</v>
      </c>
      <c r="D982" s="53">
        <v>1138</v>
      </c>
      <c r="E982" s="53" t="s">
        <v>833</v>
      </c>
      <c r="F982" s="53" t="s">
        <v>11</v>
      </c>
      <c r="G982" s="34">
        <v>45947</v>
      </c>
      <c r="H982" s="53" t="s">
        <v>1120</v>
      </c>
      <c r="I982" s="53">
        <v>1011</v>
      </c>
      <c r="J982" s="53" t="s">
        <v>33</v>
      </c>
      <c r="K982" s="53"/>
      <c r="L982" s="39"/>
      <c r="M982" s="53"/>
      <c r="N982" s="53"/>
      <c r="O982" s="53"/>
    </row>
    <row r="983" spans="1:15" x14ac:dyDescent="0.55000000000000004">
      <c r="A983" s="24">
        <f>IF(COUNTIF(B983:$B$5014,B983)&gt;1,IF(COUNTIF($B$5:B983,B983)&gt;1,"",B983&amp;"-I"),B983)</f>
        <v>1035</v>
      </c>
      <c r="B983" s="29">
        <f t="shared" si="20"/>
        <v>1035</v>
      </c>
      <c r="C983" s="36">
        <v>985</v>
      </c>
      <c r="D983" s="53">
        <v>1139</v>
      </c>
      <c r="E983" s="53" t="s">
        <v>833</v>
      </c>
      <c r="F983" s="53" t="s">
        <v>11</v>
      </c>
      <c r="G983" s="34">
        <v>45947</v>
      </c>
      <c r="H983" s="53" t="s">
        <v>1119</v>
      </c>
      <c r="I983" s="53">
        <v>1035</v>
      </c>
      <c r="J983" s="53" t="s">
        <v>33</v>
      </c>
      <c r="K983" s="53"/>
      <c r="L983" s="39"/>
      <c r="M983" s="53"/>
      <c r="N983" s="53"/>
      <c r="O983" s="53"/>
    </row>
    <row r="984" spans="1:15" x14ac:dyDescent="0.55000000000000004">
      <c r="A984" s="24">
        <f>IF(COUNTIF(B984:$B$5014,B984)&gt;1,IF(COUNTIF($B$5:B984,B984)&gt;1,"",B984&amp;"-I"),B984)</f>
        <v>1036</v>
      </c>
      <c r="B984" s="29">
        <f t="shared" si="20"/>
        <v>1036</v>
      </c>
      <c r="C984" s="36">
        <v>986</v>
      </c>
      <c r="D984" s="53">
        <v>1140</v>
      </c>
      <c r="E984" s="53" t="s">
        <v>833</v>
      </c>
      <c r="F984" s="53" t="s">
        <v>11</v>
      </c>
      <c r="G984" s="34">
        <v>45948</v>
      </c>
      <c r="H984" s="53" t="s">
        <v>1120</v>
      </c>
      <c r="I984" s="53">
        <v>1036</v>
      </c>
      <c r="J984" s="53" t="s">
        <v>33</v>
      </c>
      <c r="K984" s="53"/>
      <c r="L984" s="39"/>
      <c r="M984" s="53"/>
      <c r="N984" s="53"/>
      <c r="O984" s="53"/>
    </row>
    <row r="985" spans="1:15" x14ac:dyDescent="0.55000000000000004">
      <c r="A985" s="24">
        <f>IF(COUNTIF(B985:$B$5014,B985)&gt;1,IF(COUNTIF($B$5:B985,B985)&gt;1,"",B985&amp;"-I"),B985)</f>
        <v>987</v>
      </c>
      <c r="B985" s="29">
        <f t="shared" si="20"/>
        <v>987</v>
      </c>
      <c r="C985" s="36">
        <v>987</v>
      </c>
      <c r="D985" s="53">
        <v>1141</v>
      </c>
      <c r="E985" s="53" t="s">
        <v>833</v>
      </c>
      <c r="F985" s="53" t="s">
        <v>12</v>
      </c>
      <c r="G985" s="34">
        <v>45949</v>
      </c>
      <c r="H985" s="53" t="s">
        <v>1119</v>
      </c>
      <c r="I985" s="53">
        <v>987</v>
      </c>
      <c r="J985" s="53" t="s">
        <v>33</v>
      </c>
      <c r="K985" s="53"/>
      <c r="L985" s="39"/>
      <c r="M985" s="53"/>
      <c r="N985" s="53"/>
      <c r="O985" s="53"/>
    </row>
    <row r="986" spans="1:15" x14ac:dyDescent="0.55000000000000004">
      <c r="A986" s="24">
        <f>IF(COUNTIF(B986:$B$5014,B986)&gt;1,IF(COUNTIF($B$5:B986,B986)&gt;1,"",B986&amp;"-I"),B986)</f>
        <v>1022</v>
      </c>
      <c r="B986" s="29">
        <f t="shared" si="20"/>
        <v>1022</v>
      </c>
      <c r="C986" s="36">
        <v>988</v>
      </c>
      <c r="D986" s="53">
        <v>1142</v>
      </c>
      <c r="E986" s="53" t="s">
        <v>833</v>
      </c>
      <c r="F986" s="53" t="s">
        <v>875</v>
      </c>
      <c r="G986" s="34">
        <v>45953</v>
      </c>
      <c r="H986" s="53" t="s">
        <v>1119</v>
      </c>
      <c r="I986" s="53">
        <v>1022</v>
      </c>
      <c r="J986" s="53" t="s">
        <v>33</v>
      </c>
      <c r="K986" s="53"/>
      <c r="L986" s="39"/>
      <c r="M986" s="53"/>
      <c r="N986" s="53"/>
      <c r="O986" s="53"/>
    </row>
    <row r="987" spans="1:15" x14ac:dyDescent="0.55000000000000004">
      <c r="A987" s="24">
        <f>IF(COUNTIF(B987:$B$5014,B987)&gt;1,IF(COUNTIF($B$5:B987,B987)&gt;1,"",B987&amp;"-I"),B987)</f>
        <v>934</v>
      </c>
      <c r="B987" s="29">
        <f t="shared" si="20"/>
        <v>934</v>
      </c>
      <c r="C987" s="36">
        <v>989</v>
      </c>
      <c r="D987" s="53">
        <v>1143</v>
      </c>
      <c r="E987" s="53" t="s">
        <v>833</v>
      </c>
      <c r="F987" s="53" t="s">
        <v>875</v>
      </c>
      <c r="G987" s="34">
        <v>45953</v>
      </c>
      <c r="H987" s="53" t="s">
        <v>1119</v>
      </c>
      <c r="I987" s="53">
        <v>934</v>
      </c>
      <c r="J987" s="53" t="s">
        <v>33</v>
      </c>
      <c r="K987" s="53"/>
      <c r="L987" s="39"/>
      <c r="M987" s="53"/>
      <c r="N987" s="53"/>
      <c r="O987" s="53"/>
    </row>
    <row r="988" spans="1:15" x14ac:dyDescent="0.55000000000000004">
      <c r="A988" s="24">
        <f>IF(COUNTIF(B988:$B$5014,B988)&gt;1,IF(COUNTIF($B$5:B988,B988)&gt;1,"",B988&amp;"-I"),B988)</f>
        <v>1044</v>
      </c>
      <c r="B988" s="29">
        <f t="shared" si="20"/>
        <v>1044</v>
      </c>
      <c r="C988" s="36">
        <v>990</v>
      </c>
      <c r="D988" s="53">
        <v>1144</v>
      </c>
      <c r="E988" s="53" t="s">
        <v>833</v>
      </c>
      <c r="F988" s="53" t="s">
        <v>11</v>
      </c>
      <c r="G988" s="34">
        <v>45953</v>
      </c>
      <c r="H988" s="53" t="s">
        <v>1119</v>
      </c>
      <c r="I988" s="53">
        <v>1044</v>
      </c>
      <c r="J988" s="53" t="s">
        <v>33</v>
      </c>
      <c r="K988" s="53"/>
      <c r="L988" s="39"/>
      <c r="M988" s="53"/>
      <c r="N988" s="53"/>
      <c r="O988" s="53"/>
    </row>
    <row r="989" spans="1:15" x14ac:dyDescent="0.55000000000000004">
      <c r="A989" s="24">
        <f>IF(COUNTIF(B989:$B$5014,B989)&gt;1,IF(COUNTIF($B$5:B989,B989)&gt;1,"",B989&amp;"-I"),B989)</f>
        <v>1027</v>
      </c>
      <c r="B989" s="29">
        <f t="shared" si="20"/>
        <v>1027</v>
      </c>
      <c r="C989" s="36">
        <v>991</v>
      </c>
      <c r="D989" s="53">
        <v>1145</v>
      </c>
      <c r="E989" s="53" t="s">
        <v>833</v>
      </c>
      <c r="F989" s="53" t="s">
        <v>11</v>
      </c>
      <c r="G989" s="34">
        <v>45965</v>
      </c>
      <c r="H989" s="53" t="s">
        <v>1119</v>
      </c>
      <c r="I989" s="53">
        <v>1027</v>
      </c>
      <c r="J989" s="53" t="s">
        <v>33</v>
      </c>
      <c r="K989" s="53"/>
      <c r="L989" s="39"/>
      <c r="M989" s="53"/>
      <c r="N989" s="53"/>
      <c r="O989" s="53"/>
    </row>
    <row r="990" spans="1:15" x14ac:dyDescent="0.55000000000000004">
      <c r="A990" s="24">
        <f>IF(COUNTIF(B990:$B$5014,B990)&gt;1,IF(COUNTIF($B$5:B990,B990)&gt;1,"",B990&amp;"-I"),B990)</f>
        <v>1055</v>
      </c>
      <c r="B990" s="29">
        <f t="shared" si="20"/>
        <v>1055</v>
      </c>
      <c r="C990" s="36">
        <v>992</v>
      </c>
      <c r="D990" s="53">
        <v>1146</v>
      </c>
      <c r="E990" s="53" t="s">
        <v>833</v>
      </c>
      <c r="F990" s="53" t="s">
        <v>11</v>
      </c>
      <c r="G990" s="34">
        <v>45975</v>
      </c>
      <c r="H990" s="53" t="s">
        <v>1119</v>
      </c>
      <c r="I990" s="53">
        <v>1055</v>
      </c>
      <c r="J990" s="53" t="s">
        <v>33</v>
      </c>
      <c r="K990" s="53"/>
      <c r="L990" s="39"/>
      <c r="M990" s="53"/>
      <c r="N990" s="53"/>
      <c r="O990" s="53"/>
    </row>
    <row r="991" spans="1:15" x14ac:dyDescent="0.55000000000000004">
      <c r="A991" s="24">
        <f>IF(COUNTIF(B991:$B$5014,B991)&gt;1,IF(COUNTIF($B$5:B991,B991)&gt;1,"",B991&amp;"-I"),B991)</f>
        <v>1050</v>
      </c>
      <c r="B991" s="29">
        <f t="shared" si="20"/>
        <v>1050</v>
      </c>
      <c r="C991" s="36">
        <v>993</v>
      </c>
      <c r="D991" s="53">
        <v>1147</v>
      </c>
      <c r="E991" s="53" t="s">
        <v>833</v>
      </c>
      <c r="F991" s="53" t="s">
        <v>11</v>
      </c>
      <c r="G991" s="34">
        <v>45978</v>
      </c>
      <c r="H991" s="53" t="s">
        <v>1119</v>
      </c>
      <c r="I991" s="53">
        <v>1050</v>
      </c>
      <c r="J991" s="53" t="s">
        <v>33</v>
      </c>
      <c r="K991" s="53"/>
      <c r="L991" s="39"/>
      <c r="M991" s="53"/>
      <c r="N991" s="53"/>
      <c r="O991" s="53"/>
    </row>
    <row r="992" spans="1:15" x14ac:dyDescent="0.55000000000000004">
      <c r="A992" s="24">
        <f>IF(COUNTIF(B992:$B$5014,B992)&gt;1,IF(COUNTIF($B$5:B992,B992)&gt;1,"",B992&amp;"-I"),B992)</f>
        <v>1049</v>
      </c>
      <c r="B992" s="29">
        <f t="shared" si="20"/>
        <v>1049</v>
      </c>
      <c r="C992" s="36">
        <v>994</v>
      </c>
      <c r="D992" s="53">
        <v>1148</v>
      </c>
      <c r="E992" s="53" t="s">
        <v>833</v>
      </c>
      <c r="F992" s="53" t="s">
        <v>11</v>
      </c>
      <c r="G992" s="34">
        <v>45979</v>
      </c>
      <c r="H992" s="53" t="s">
        <v>1119</v>
      </c>
      <c r="I992" s="53">
        <v>1049</v>
      </c>
      <c r="J992" s="53" t="s">
        <v>33</v>
      </c>
      <c r="K992" s="53"/>
      <c r="L992" s="39"/>
      <c r="M992" s="53"/>
      <c r="N992" s="53"/>
      <c r="O992" s="53"/>
    </row>
    <row r="993" spans="1:15" x14ac:dyDescent="0.55000000000000004">
      <c r="A993" s="24">
        <f>IF(COUNTIF(B993:$B$5014,B993)&gt;1,IF(COUNTIF($B$5:B993,B993)&gt;1,"",B993&amp;"-I"),B993)</f>
        <v>930</v>
      </c>
      <c r="B993" s="29">
        <f t="shared" si="20"/>
        <v>930</v>
      </c>
      <c r="C993" s="36">
        <v>995</v>
      </c>
      <c r="D993" s="53">
        <v>1149</v>
      </c>
      <c r="E993" s="53" t="s">
        <v>833</v>
      </c>
      <c r="F993" s="53" t="s">
        <v>12</v>
      </c>
      <c r="G993" s="34">
        <v>45991</v>
      </c>
      <c r="H993" s="53" t="s">
        <v>1155</v>
      </c>
      <c r="I993" s="53">
        <v>930</v>
      </c>
      <c r="J993" s="53" t="s">
        <v>33</v>
      </c>
      <c r="K993" s="53"/>
      <c r="L993" s="47" t="s">
        <v>1180</v>
      </c>
      <c r="M993" s="73" t="s">
        <v>1181</v>
      </c>
      <c r="N993" s="73">
        <v>46065</v>
      </c>
      <c r="O993" s="53"/>
    </row>
    <row r="994" spans="1:15" x14ac:dyDescent="0.55000000000000004">
      <c r="A994" s="24">
        <f>IF(COUNTIF(B994:$B$5014,B994)&gt;1,IF(COUNTIF($B$5:B994,B994)&gt;1,"",B994&amp;"-I"),B994)</f>
        <v>974</v>
      </c>
      <c r="B994" s="29">
        <f t="shared" si="20"/>
        <v>974</v>
      </c>
      <c r="C994" s="36">
        <v>996</v>
      </c>
      <c r="D994" s="53">
        <v>1150</v>
      </c>
      <c r="E994" s="53" t="s">
        <v>833</v>
      </c>
      <c r="F994" s="53" t="s">
        <v>12</v>
      </c>
      <c r="G994" s="34">
        <v>45993</v>
      </c>
      <c r="H994" s="53" t="s">
        <v>1155</v>
      </c>
      <c r="I994" s="53">
        <v>974</v>
      </c>
      <c r="J994" s="53" t="s">
        <v>33</v>
      </c>
      <c r="K994" s="72"/>
      <c r="L994" s="47" t="s">
        <v>1179</v>
      </c>
      <c r="M994" s="73">
        <v>46024</v>
      </c>
      <c r="N994" s="72"/>
      <c r="O994" s="53"/>
    </row>
    <row r="995" spans="1:15" x14ac:dyDescent="0.55000000000000004">
      <c r="A995" s="24">
        <f>IF(COUNTIF(B995:$B$5014,B995)&gt;1,IF(COUNTIF($B$5:B995,B995)&gt;1,"",B995&amp;"-I"),B995)</f>
        <v>1023</v>
      </c>
      <c r="B995" s="29">
        <f t="shared" si="20"/>
        <v>1023</v>
      </c>
      <c r="C995" s="36">
        <v>997</v>
      </c>
      <c r="D995" s="53">
        <v>1151</v>
      </c>
      <c r="E995" s="53" t="s">
        <v>833</v>
      </c>
      <c r="F995" s="53" t="s">
        <v>11</v>
      </c>
      <c r="G995" s="34">
        <v>45993</v>
      </c>
      <c r="H995" s="53" t="s">
        <v>1155</v>
      </c>
      <c r="I995" s="53">
        <v>1023</v>
      </c>
      <c r="J995" s="53" t="s">
        <v>33</v>
      </c>
      <c r="K995" s="53"/>
      <c r="L995" s="39"/>
      <c r="M995" s="53" t="s">
        <v>879</v>
      </c>
      <c r="N995" s="53"/>
      <c r="O995" s="53"/>
    </row>
    <row r="996" spans="1:15" x14ac:dyDescent="0.55000000000000004">
      <c r="A996" s="24">
        <f>IF(COUNTIF(B996:$B$5014,B996)&gt;1,IF(COUNTIF($B$5:B996,B996)&gt;1,"",B996&amp;"-I"),B996)</f>
        <v>1062</v>
      </c>
      <c r="B996" s="29">
        <f t="shared" si="20"/>
        <v>1062</v>
      </c>
      <c r="C996" s="36">
        <v>998</v>
      </c>
      <c r="D996" s="53">
        <v>1152</v>
      </c>
      <c r="E996" s="53" t="s">
        <v>834</v>
      </c>
      <c r="F996" s="53" t="s">
        <v>11</v>
      </c>
      <c r="G996" s="34">
        <v>46037</v>
      </c>
      <c r="H996" s="53" t="s">
        <v>1178</v>
      </c>
      <c r="I996" s="53">
        <v>1062</v>
      </c>
      <c r="J996" s="53" t="s">
        <v>33</v>
      </c>
      <c r="K996" s="53"/>
      <c r="L996" s="53"/>
      <c r="M996" s="53"/>
      <c r="N996" s="53"/>
      <c r="O996" s="53"/>
    </row>
    <row r="997" spans="1:15" x14ac:dyDescent="0.55000000000000004">
      <c r="A997" s="24">
        <f>IF(COUNTIF(B997:$B$5014,B997)&gt;1,IF(COUNTIF($B$5:B997,B997)&gt;1,"",B997&amp;"-I"),B997)</f>
        <v>860</v>
      </c>
      <c r="B997" s="29">
        <f t="shared" si="20"/>
        <v>860</v>
      </c>
      <c r="C997" s="36">
        <v>999</v>
      </c>
      <c r="D997" s="53">
        <v>1153</v>
      </c>
      <c r="E997" s="53" t="s">
        <v>834</v>
      </c>
      <c r="F997" s="53" t="s">
        <v>12</v>
      </c>
      <c r="G997" s="34">
        <v>46045</v>
      </c>
      <c r="H997" s="53" t="s">
        <v>1155</v>
      </c>
      <c r="I997" s="53">
        <v>860</v>
      </c>
      <c r="J997" s="53" t="s">
        <v>33</v>
      </c>
      <c r="K997" s="53"/>
      <c r="L997" s="53"/>
      <c r="M997" s="53"/>
      <c r="N997" s="53"/>
      <c r="O997" s="53"/>
    </row>
    <row r="998" spans="1:15" x14ac:dyDescent="0.55000000000000004">
      <c r="A998" s="24">
        <f>IF(COUNTIF(B998:$B$5014,B998)&gt;1,IF(COUNTIF($B$5:B998,B998)&gt;1,"",B998&amp;"-I"),B998)</f>
        <v>1057</v>
      </c>
      <c r="B998" s="29">
        <f t="shared" si="20"/>
        <v>1057</v>
      </c>
      <c r="C998" s="36">
        <v>1000</v>
      </c>
      <c r="D998" s="53">
        <v>1154</v>
      </c>
      <c r="E998" s="53" t="s">
        <v>833</v>
      </c>
      <c r="F998" s="53" t="s">
        <v>11</v>
      </c>
      <c r="G998" s="34">
        <v>46079</v>
      </c>
      <c r="H998" s="53" t="s">
        <v>1193</v>
      </c>
      <c r="I998" s="53">
        <v>1057</v>
      </c>
      <c r="J998" s="53" t="s">
        <v>33</v>
      </c>
      <c r="K998" s="53"/>
      <c r="L998" s="53"/>
      <c r="M998" s="53"/>
      <c r="N998" s="53"/>
      <c r="O998" s="53"/>
    </row>
    <row r="999" spans="1:15" x14ac:dyDescent="0.55000000000000004">
      <c r="A999" s="24">
        <f>IF(COUNTIF(B999:$B$5014,B999)&gt;1,IF(COUNTIF($B$5:B999,B999)&gt;1,"",B999&amp;"-I"),B999)</f>
        <v>976</v>
      </c>
      <c r="B999" s="29">
        <f t="shared" si="20"/>
        <v>976</v>
      </c>
      <c r="C999" s="36">
        <v>1001</v>
      </c>
      <c r="D999" s="53">
        <v>1155</v>
      </c>
      <c r="E999" s="53" t="s">
        <v>833</v>
      </c>
      <c r="F999" s="53" t="s">
        <v>12</v>
      </c>
      <c r="G999" s="34">
        <v>46083</v>
      </c>
      <c r="H999" s="53" t="s">
        <v>1198</v>
      </c>
      <c r="I999" s="53">
        <v>976</v>
      </c>
      <c r="J999" s="53" t="s">
        <v>33</v>
      </c>
      <c r="K999" s="53"/>
      <c r="L999" s="53"/>
      <c r="M999" s="53"/>
      <c r="N999" s="53"/>
      <c r="O999" s="53"/>
    </row>
    <row r="1000" spans="1:15" x14ac:dyDescent="0.55000000000000004">
      <c r="A1000" s="24">
        <f>IF(COUNTIF(B1000:$B$5014,B1000)&gt;1,IF(COUNTIF($B$5:B1000,B1000)&gt;1,"",B1000&amp;"-I"),B1000)</f>
        <v>1026</v>
      </c>
      <c r="B1000" s="29">
        <f t="shared" si="20"/>
        <v>1026</v>
      </c>
      <c r="C1000" s="36">
        <v>1002</v>
      </c>
      <c r="D1000" s="53">
        <v>1156</v>
      </c>
      <c r="E1000" s="53" t="s">
        <v>833</v>
      </c>
      <c r="F1000" s="53" t="s">
        <v>12</v>
      </c>
      <c r="G1000" s="34">
        <v>374810</v>
      </c>
      <c r="H1000" s="53" t="s">
        <v>1155</v>
      </c>
      <c r="I1000" s="53">
        <v>1026</v>
      </c>
      <c r="J1000" s="53" t="s">
        <v>33</v>
      </c>
      <c r="K1000" s="53"/>
      <c r="L1000" s="53"/>
      <c r="M1000" s="53"/>
      <c r="N1000" s="53"/>
      <c r="O1000" s="53"/>
    </row>
    <row r="1001" spans="1:15" x14ac:dyDescent="0.55000000000000004">
      <c r="A1001" s="24">
        <f>IF(COUNTIF(B1001:$B$5014,B1001)&gt;1,IF(COUNTIF($B$5:B1001,B1001)&gt;1,"",B1001&amp;"-I"),B1001)</f>
        <v>1059</v>
      </c>
      <c r="B1001" s="29">
        <f t="shared" si="20"/>
        <v>1059</v>
      </c>
      <c r="C1001" s="36">
        <v>1003</v>
      </c>
      <c r="D1001" s="53">
        <v>1157</v>
      </c>
      <c r="E1001" s="53" t="s">
        <v>1197</v>
      </c>
      <c r="F1001" s="53" t="s">
        <v>11</v>
      </c>
      <c r="G1001" s="34">
        <v>46096</v>
      </c>
      <c r="H1001" s="53" t="s">
        <v>1155</v>
      </c>
      <c r="I1001" s="53">
        <v>1059</v>
      </c>
      <c r="J1001" s="53" t="s">
        <v>33</v>
      </c>
      <c r="K1001" s="53"/>
      <c r="L1001" s="53"/>
      <c r="M1001" s="53"/>
      <c r="N1001" s="53"/>
      <c r="O1001" s="53"/>
    </row>
    <row r="1002" spans="1:15" x14ac:dyDescent="0.55000000000000004">
      <c r="A1002" s="24">
        <f>IF(COUNTIF(B1002:$B$5014,B1002)&gt;1,IF(COUNTIF($B$5:B1002,B1002)&gt;1,"",B1002&amp;"-I"),B1002)</f>
        <v>980</v>
      </c>
      <c r="B1002" s="29">
        <f t="shared" si="20"/>
        <v>980</v>
      </c>
      <c r="C1002" s="36">
        <v>1004</v>
      </c>
      <c r="D1002" s="53">
        <v>1158</v>
      </c>
      <c r="E1002" s="53" t="s">
        <v>833</v>
      </c>
      <c r="F1002" s="53" t="s">
        <v>11</v>
      </c>
      <c r="G1002" s="34">
        <v>46097</v>
      </c>
      <c r="H1002" s="53" t="s">
        <v>1178</v>
      </c>
      <c r="I1002" s="53">
        <v>980</v>
      </c>
      <c r="J1002" s="53" t="s">
        <v>33</v>
      </c>
      <c r="K1002" s="53"/>
      <c r="L1002" s="53"/>
      <c r="M1002" s="53"/>
      <c r="N1002" s="53"/>
      <c r="O1002" s="53"/>
    </row>
    <row r="1003" spans="1:15" x14ac:dyDescent="0.55000000000000004">
      <c r="A1003" s="24">
        <f>IF(COUNTIF(B1003:$B$5014,B1003)&gt;1,IF(COUNTIF($B$5:B1003,B1003)&gt;1,"",B1003&amp;"-I"),B1003)</f>
        <v>1046</v>
      </c>
      <c r="B1003" s="29">
        <f t="shared" si="20"/>
        <v>1046</v>
      </c>
      <c r="C1003" s="36">
        <v>1005</v>
      </c>
      <c r="D1003" s="53">
        <v>1159</v>
      </c>
      <c r="E1003" s="53" t="s">
        <v>833</v>
      </c>
      <c r="F1003" s="53" t="s">
        <v>12</v>
      </c>
      <c r="G1003" s="34">
        <v>46105</v>
      </c>
      <c r="H1003" s="53" t="s">
        <v>1155</v>
      </c>
      <c r="I1003" s="53">
        <v>1046</v>
      </c>
      <c r="J1003" s="53" t="s">
        <v>33</v>
      </c>
      <c r="K1003" s="53"/>
      <c r="L1003" s="53"/>
      <c r="M1003" s="53"/>
      <c r="N1003" s="53"/>
      <c r="O1003" s="53"/>
    </row>
    <row r="1004" spans="1:15" x14ac:dyDescent="0.55000000000000004">
      <c r="A1004" s="24">
        <f>IF(COUNTIF(B1004:$B$5014,B1004)&gt;1,IF(COUNTIF($B$5:B1004,B1004)&gt;1,"",B1004&amp;"-I"),B1004)</f>
        <v>981</v>
      </c>
      <c r="B1004" s="29">
        <f t="shared" si="20"/>
        <v>981</v>
      </c>
      <c r="C1004" s="36">
        <v>1006</v>
      </c>
      <c r="D1004" s="53">
        <v>1160</v>
      </c>
      <c r="E1004" s="53" t="s">
        <v>833</v>
      </c>
      <c r="F1004" s="53" t="s">
        <v>12</v>
      </c>
      <c r="G1004" s="34">
        <v>46105</v>
      </c>
      <c r="H1004" s="53" t="s">
        <v>1178</v>
      </c>
      <c r="I1004" s="53">
        <v>981</v>
      </c>
      <c r="J1004" s="53" t="s">
        <v>33</v>
      </c>
      <c r="K1004" s="53"/>
      <c r="L1004" s="53"/>
      <c r="M1004" s="53"/>
      <c r="N1004" s="53"/>
      <c r="O1004" s="53"/>
    </row>
    <row r="1005" spans="1:15" x14ac:dyDescent="0.55000000000000004">
      <c r="A1005" s="24">
        <f>IF(COUNTIF(B1005:$B$5014,B1005)&gt;1,IF(COUNTIF($B$5:B1005,B1005)&gt;1,"",B1005&amp;"-I"),B1005)</f>
        <v>874</v>
      </c>
      <c r="B1005" s="29">
        <f t="shared" si="20"/>
        <v>874</v>
      </c>
      <c r="C1005" s="36">
        <v>1007</v>
      </c>
      <c r="D1005" s="53">
        <v>1161</v>
      </c>
      <c r="E1005" s="53" t="s">
        <v>833</v>
      </c>
      <c r="F1005" s="53" t="s">
        <v>11</v>
      </c>
      <c r="G1005" s="34">
        <v>46105</v>
      </c>
      <c r="H1005" s="53" t="s">
        <v>1178</v>
      </c>
      <c r="I1005" s="53">
        <v>874</v>
      </c>
      <c r="J1005" s="53" t="s">
        <v>33</v>
      </c>
      <c r="K1005" s="53"/>
      <c r="L1005" s="53"/>
      <c r="M1005" s="53"/>
      <c r="N1005" s="53"/>
      <c r="O1005" s="53"/>
    </row>
    <row r="1006" spans="1:15" x14ac:dyDescent="0.55000000000000004">
      <c r="A1006" s="24">
        <f>IF(COUNTIF(B1006:$B$5014,B1006)&gt;1,IF(COUNTIF($B$5:B1006,B1006)&gt;1,"",B1006&amp;"-I"),B1006)</f>
        <v>1047</v>
      </c>
      <c r="B1006" s="29">
        <f t="shared" si="20"/>
        <v>1047</v>
      </c>
      <c r="C1006" s="36">
        <v>1008</v>
      </c>
      <c r="D1006" s="53">
        <v>1062</v>
      </c>
      <c r="E1006" s="53" t="s">
        <v>833</v>
      </c>
      <c r="F1006" s="53" t="s">
        <v>11</v>
      </c>
      <c r="G1006" s="34">
        <v>46108</v>
      </c>
      <c r="H1006" s="53" t="s">
        <v>1155</v>
      </c>
      <c r="I1006" s="53">
        <v>1047</v>
      </c>
      <c r="J1006" s="53" t="s">
        <v>33</v>
      </c>
      <c r="K1006" s="53"/>
      <c r="L1006" s="53"/>
      <c r="M1006" s="53"/>
      <c r="N1006" s="53"/>
      <c r="O1006" s="53"/>
    </row>
    <row r="1007" spans="1:15" x14ac:dyDescent="0.55000000000000004">
      <c r="A1007" s="24" t="str">
        <f>IF(COUNTIF(B1007:$B$5014,B1007)&gt;1,IF(COUNTIF($B$5:B1007,B1007)&gt;1,"",B1007&amp;"-I"),B1007)</f>
        <v>0-I</v>
      </c>
      <c r="B1007" s="29">
        <f t="shared" si="20"/>
        <v>0</v>
      </c>
      <c r="C1007" s="36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</row>
    <row r="1008" spans="1:15" x14ac:dyDescent="0.55000000000000004">
      <c r="A1008" s="24" t="str">
        <f>IF(COUNTIF(B1008:$B$5014,B1008)&gt;1,IF(COUNTIF($B$5:B1008,B1008)&gt;1,"",B1008&amp;"-I"),B1008)</f>
        <v/>
      </c>
      <c r="B1008" s="29">
        <f t="shared" si="20"/>
        <v>0</v>
      </c>
      <c r="C1008" s="36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</row>
    <row r="1009" spans="1:15" x14ac:dyDescent="0.55000000000000004">
      <c r="A1009" s="24" t="str">
        <f>IF(COUNTIF(B1009:$B$5014,B1009)&gt;1,IF(COUNTIF($B$5:B1009,B1009)&gt;1,"",B1009&amp;"-I"),B1009)</f>
        <v/>
      </c>
      <c r="B1009" s="29">
        <f t="shared" si="20"/>
        <v>0</v>
      </c>
      <c r="C1009" s="36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</row>
    <row r="1010" spans="1:15" x14ac:dyDescent="0.55000000000000004">
      <c r="A1010" s="24" t="str">
        <f>IF(COUNTIF(B1010:$B$5014,B1010)&gt;1,IF(COUNTIF($B$5:B1010,B1010)&gt;1,"",B1010&amp;"-I"),B1010)</f>
        <v/>
      </c>
      <c r="B1010" s="29">
        <f t="shared" si="20"/>
        <v>0</v>
      </c>
      <c r="C1010" s="36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</row>
    <row r="1011" spans="1:15" x14ac:dyDescent="0.55000000000000004">
      <c r="A1011" s="24" t="str">
        <f>IF(COUNTIF(B1011:$B$5014,B1011)&gt;1,IF(COUNTIF($B$5:B1011,B1011)&gt;1,"",B1011&amp;"-I"),B1011)</f>
        <v/>
      </c>
      <c r="B1011" s="29">
        <f t="shared" si="20"/>
        <v>0</v>
      </c>
      <c r="C1011" s="36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</row>
    <row r="1012" spans="1:15" x14ac:dyDescent="0.55000000000000004">
      <c r="A1012" s="24" t="str">
        <f>IF(COUNTIF(B1012:$B$5014,B1012)&gt;1,IF(COUNTIF($B$5:B1012,B1012)&gt;1,"",B1012&amp;"-I"),B1012)</f>
        <v/>
      </c>
      <c r="B1012" s="29">
        <f t="shared" si="20"/>
        <v>0</v>
      </c>
      <c r="C1012" s="36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</row>
    <row r="1013" spans="1:15" x14ac:dyDescent="0.55000000000000004">
      <c r="A1013" s="24">
        <f>IF(COUNTIF(B1013:$B$5014,B1013)&gt;1,IF(COUNTIF($B$5:B1013,B1013)&gt;1,"",B1013&amp;"-I"),B1013)</f>
        <v>0</v>
      </c>
      <c r="B1013" s="29">
        <f t="shared" si="20"/>
        <v>0</v>
      </c>
      <c r="C1013" s="36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</row>
    <row r="1014" spans="1:15" x14ac:dyDescent="0.55000000000000004">
      <c r="C1014" s="36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</row>
  </sheetData>
  <sheetProtection sheet="1" formatCells="0" formatColumns="0" formatRows="0" autoFilter="0"/>
  <autoFilter ref="A4:S1013" xr:uid="{00000000-0009-0000-0000-000000000000}"/>
  <sortState xmlns:xlrd2="http://schemas.microsoft.com/office/spreadsheetml/2017/richdata2" ref="D5:P1029">
    <sortCondition ref="P5:P1029"/>
    <sortCondition ref="G5:G1029"/>
  </sortState>
  <mergeCells count="2">
    <mergeCell ref="C1:O1"/>
    <mergeCell ref="C2:O2"/>
  </mergeCells>
  <phoneticPr fontId="22" type="noConversion"/>
  <pageMargins left="0.25" right="0.25" top="0.75" bottom="0.75" header="0.3" footer="0.3"/>
  <pageSetup paperSize="9" scale="72" fitToHeight="0" orientation="landscape" r:id="rId1"/>
  <rowBreaks count="2" manualBreakCount="2">
    <brk id="924" max="16383" man="1"/>
    <brk id="9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M149"/>
  <sheetViews>
    <sheetView showZeros="0" topLeftCell="B2" zoomScaleNormal="100" zoomScaleSheetLayoutView="100" workbookViewId="0">
      <pane ySplit="3" topLeftCell="A8" activePane="bottomLeft" state="frozen"/>
      <selection activeCell="D17" sqref="D17"/>
      <selection pane="bottomLeft" activeCell="I19" sqref="I19"/>
    </sheetView>
  </sheetViews>
  <sheetFormatPr defaultColWidth="9.15625" defaultRowHeight="17.100000000000001" customHeight="1" x14ac:dyDescent="0.45"/>
  <cols>
    <col min="1" max="1" width="8.578125" style="1" hidden="1" customWidth="1"/>
    <col min="2" max="2" width="8.578125" style="1" customWidth="1"/>
    <col min="3" max="3" width="9.15625" style="2"/>
    <col min="4" max="4" width="14.41796875" style="1" customWidth="1"/>
    <col min="5" max="5" width="16.41796875" style="1" customWidth="1"/>
    <col min="6" max="6" width="14.15625" style="1" customWidth="1"/>
    <col min="7" max="7" width="9.15625" style="2"/>
    <col min="8" max="8" width="14.83984375" style="20" customWidth="1"/>
    <col min="9" max="9" width="73.83984375" style="1" customWidth="1"/>
    <col min="10" max="10" width="9.15625" style="1"/>
    <col min="11" max="11" width="12.41796875" style="1" customWidth="1"/>
    <col min="12" max="13" width="11.26171875" style="1" bestFit="1" customWidth="1"/>
    <col min="14" max="26" width="9.15625" style="1"/>
    <col min="27" max="27" width="14.15625" style="1" bestFit="1" customWidth="1"/>
    <col min="28" max="16384" width="9.15625" style="1"/>
  </cols>
  <sheetData>
    <row r="1" spans="1:13" ht="17.100000000000001" hidden="1" customHeight="1" thickBot="1" x14ac:dyDescent="0.5">
      <c r="H1" s="3">
        <f>+I3-15*30</f>
        <v>-450</v>
      </c>
      <c r="I1" s="4">
        <f>+I3-12*30</f>
        <v>-360</v>
      </c>
    </row>
    <row r="2" spans="1:13" ht="42.6" customHeight="1" x14ac:dyDescent="0.45">
      <c r="B2" s="192" t="s">
        <v>6</v>
      </c>
      <c r="C2" s="193"/>
      <c r="D2" s="193"/>
      <c r="E2" s="193"/>
      <c r="F2" s="193"/>
      <c r="G2" s="193"/>
      <c r="H2" s="193"/>
      <c r="I2" s="194"/>
    </row>
    <row r="3" spans="1:13" ht="17.25" customHeight="1" x14ac:dyDescent="0.5">
      <c r="B3" s="5" t="s">
        <v>8</v>
      </c>
      <c r="C3" s="2">
        <v>2008</v>
      </c>
      <c r="D3" s="157">
        <v>44866</v>
      </c>
      <c r="E3" s="6"/>
      <c r="H3" s="7" t="s">
        <v>7</v>
      </c>
      <c r="I3" s="8"/>
    </row>
    <row r="4" spans="1:13" s="9" customFormat="1" ht="36.75" customHeight="1" x14ac:dyDescent="0.55000000000000004">
      <c r="A4" s="9" t="s">
        <v>14</v>
      </c>
      <c r="B4" s="10" t="s">
        <v>5</v>
      </c>
      <c r="C4" s="11" t="s">
        <v>0</v>
      </c>
      <c r="D4" s="11" t="s">
        <v>1</v>
      </c>
      <c r="E4" s="11" t="s">
        <v>2</v>
      </c>
      <c r="F4" s="11" t="s">
        <v>16</v>
      </c>
      <c r="G4" s="11" t="s">
        <v>3</v>
      </c>
      <c r="H4" s="12" t="s">
        <v>4</v>
      </c>
      <c r="I4" s="13" t="s">
        <v>889</v>
      </c>
      <c r="J4" s="56"/>
    </row>
    <row r="5" spans="1:13" ht="18" hidden="1" customHeight="1" x14ac:dyDescent="0.45">
      <c r="B5" s="144"/>
      <c r="C5" s="81">
        <v>854</v>
      </c>
      <c r="D5" s="145">
        <f>IFERROR(VLOOKUP(C5&amp;"-I",Crias!$A$5:$G$6221,7,FALSE),E5)</f>
        <v>39633</v>
      </c>
      <c r="E5" s="145">
        <f>IFERROR(IF(C5="","",VLOOKUP(C5,Crias!$A$5:$G$6221,7,FALSE)),"Novilha")</f>
        <v>44569</v>
      </c>
      <c r="F5" s="83">
        <f t="shared" ref="F5:F68" si="0">IFERROR(IF(D5="","",((E5-D5+1)/30)+9.5),"S/R")</f>
        <v>174.06666666666666</v>
      </c>
      <c r="G5" s="146">
        <f>IF(F5="","",COUNTIF(Crias!$B$5:$B$6221,Matrizes!C5)+A5)</f>
        <v>13</v>
      </c>
      <c r="H5" s="147">
        <f>IFERROR(F5/G5,"")</f>
        <v>13.38974358974359</v>
      </c>
      <c r="I5" s="148" t="s">
        <v>1086</v>
      </c>
      <c r="K5" s="19"/>
      <c r="L5" s="4"/>
      <c r="M5" s="19"/>
    </row>
    <row r="6" spans="1:13" ht="18" hidden="1" customHeight="1" x14ac:dyDescent="0.45">
      <c r="B6" s="167"/>
      <c r="C6" s="81">
        <v>858</v>
      </c>
      <c r="D6" s="15">
        <f>IFERROR(VLOOKUP(C6&amp;"-I",Crias!$A$5:$G$6221,7,FALSE),E6)</f>
        <v>39840</v>
      </c>
      <c r="E6" s="15">
        <f>IFERROR(IF(C6="","",VLOOKUP(C6,Crias!$A$5:$G$6221,7,FALSE)),"Novilha")</f>
        <v>45548</v>
      </c>
      <c r="F6" s="16">
        <f t="shared" si="0"/>
        <v>199.8</v>
      </c>
      <c r="G6" s="17">
        <f>IF(F6="","",COUNTIF(Crias!$B$5:$B$6221,Matrizes!C6)+A6)</f>
        <v>13</v>
      </c>
      <c r="H6" s="18">
        <f t="shared" ref="H6:H63" si="1">IFERROR(F6/G6,"")</f>
        <v>15.36923076923077</v>
      </c>
      <c r="I6" s="22" t="s">
        <v>1196</v>
      </c>
      <c r="K6" s="19"/>
      <c r="L6" s="4"/>
      <c r="M6" s="19"/>
    </row>
    <row r="7" spans="1:13" ht="18" hidden="1" customHeight="1" x14ac:dyDescent="0.45">
      <c r="B7" s="167"/>
      <c r="C7" s="81">
        <v>859</v>
      </c>
      <c r="D7" s="15">
        <f>IFERROR(VLOOKUP(C7&amp;"-I",Crias!$A$5:$G$6221,7,FALSE),E7)</f>
        <v>39676</v>
      </c>
      <c r="E7" s="15">
        <f>IFERROR(IF(C7="","",VLOOKUP(C7,Crias!$A$5:$G$6221,7,FALSE)),"Novilha")</f>
        <v>45335</v>
      </c>
      <c r="F7" s="16">
        <f t="shared" si="0"/>
        <v>198.16666666666666</v>
      </c>
      <c r="G7" s="17">
        <f>IF(F7="","",COUNTIF(Crias!$B$5:$B$6221,Matrizes!C7)+A7)</f>
        <v>13</v>
      </c>
      <c r="H7" s="18">
        <f t="shared" si="1"/>
        <v>15.243589743589743</v>
      </c>
      <c r="I7" s="22" t="s">
        <v>1196</v>
      </c>
      <c r="K7" s="19"/>
      <c r="L7" s="4"/>
      <c r="M7" s="19"/>
    </row>
    <row r="8" spans="1:13" ht="18" customHeight="1" x14ac:dyDescent="0.45">
      <c r="B8" s="167">
        <v>1</v>
      </c>
      <c r="C8" s="23">
        <v>860</v>
      </c>
      <c r="D8" s="15">
        <f>IFERROR(VLOOKUP(C8&amp;"-I",Crias!$A$5:$G$6221,7,FALSE),E8)</f>
        <v>40099</v>
      </c>
      <c r="E8" s="15">
        <f>IFERROR(IF(C8="","",VLOOKUP(C8,Crias!$A$5:$G$6221,7,FALSE)),"Novilha")</f>
        <v>46045</v>
      </c>
      <c r="F8" s="16">
        <f t="shared" si="0"/>
        <v>207.73333333333332</v>
      </c>
      <c r="G8" s="17">
        <f>IF(F8="","",COUNTIF(Crias!$B$5:$B$6221,Matrizes!C8)+A8)</f>
        <v>12</v>
      </c>
      <c r="H8" s="18">
        <f t="shared" si="1"/>
        <v>17.31111111111111</v>
      </c>
      <c r="I8" s="21"/>
      <c r="K8" s="19"/>
      <c r="L8" s="4"/>
      <c r="M8" s="19"/>
    </row>
    <row r="9" spans="1:13" ht="18" hidden="1" customHeight="1" x14ac:dyDescent="0.45">
      <c r="B9" s="144"/>
      <c r="C9" s="81">
        <v>862</v>
      </c>
      <c r="D9" s="145">
        <f>IFERROR(VLOOKUP(C9&amp;"-I",Crias!$A$5:$G$6221,7,FALSE),E9)</f>
        <v>39842</v>
      </c>
      <c r="E9" s="145">
        <f>IFERROR(IF(C9="","",VLOOKUP(C9,Crias!$A$5:$G$6221,7,FALSE)),"Novilha")</f>
        <v>44893</v>
      </c>
      <c r="F9" s="83">
        <f t="shared" si="0"/>
        <v>177.9</v>
      </c>
      <c r="G9" s="146">
        <f>IF(F9="","",COUNTIF(Crias!$B$5:$B$6221,Matrizes!C9)+A9)</f>
        <v>12</v>
      </c>
      <c r="H9" s="147">
        <f t="shared" si="1"/>
        <v>14.825000000000001</v>
      </c>
      <c r="I9" s="22" t="s">
        <v>1162</v>
      </c>
      <c r="K9" s="19"/>
      <c r="L9" s="4"/>
      <c r="M9" s="19"/>
    </row>
    <row r="10" spans="1:13" ht="18" customHeight="1" x14ac:dyDescent="0.45">
      <c r="B10" s="167">
        <f>IF(C10="","",+LARGE($B$5:B9,1)+1)</f>
        <v>2</v>
      </c>
      <c r="C10" s="23">
        <v>863</v>
      </c>
      <c r="D10" s="15">
        <f>IFERROR(VLOOKUP(C10&amp;"-I",Crias!$A$5:$G$6221,7,FALSE),E10)</f>
        <v>39647</v>
      </c>
      <c r="E10" s="15">
        <f>IFERROR(IF(C10="","",VLOOKUP(C10,Crias!$A$5:$G$6221,7,FALSE)),"Novilha")</f>
        <v>45486</v>
      </c>
      <c r="F10" s="16">
        <f t="shared" si="0"/>
        <v>204.16666666666666</v>
      </c>
      <c r="G10" s="17">
        <f>IF(F10="","",COUNTIF(Crias!$B$5:$B$6221,Matrizes!C10)+A10)</f>
        <v>13</v>
      </c>
      <c r="H10" s="18">
        <f t="shared" si="1"/>
        <v>15.705128205128204</v>
      </c>
      <c r="I10" s="21"/>
      <c r="K10" s="19"/>
      <c r="L10" s="4"/>
      <c r="M10" s="19"/>
    </row>
    <row r="11" spans="1:13" ht="18" hidden="1" customHeight="1" x14ac:dyDescent="0.45">
      <c r="B11" s="144"/>
      <c r="C11" s="81">
        <v>865</v>
      </c>
      <c r="D11" s="145">
        <f>IFERROR(VLOOKUP(C11&amp;"-I",Crias!$A$5:$G$6221,7,FALSE),E11)</f>
        <v>40031</v>
      </c>
      <c r="E11" s="145">
        <f>IFERROR(IF(C11="","",VLOOKUP(C11,Crias!$A$5:$G$6221,7,FALSE)),"Novilha")</f>
        <v>45196</v>
      </c>
      <c r="F11" s="83">
        <f t="shared" si="0"/>
        <v>181.7</v>
      </c>
      <c r="G11" s="146">
        <f>IF(F11="","",COUNTIF(Crias!$B$5:$B$6221,Matrizes!C11)+A11)</f>
        <v>12</v>
      </c>
      <c r="H11" s="147">
        <f t="shared" si="1"/>
        <v>15.141666666666666</v>
      </c>
      <c r="I11" s="22" t="s">
        <v>1093</v>
      </c>
      <c r="J11" s="4"/>
      <c r="K11" s="19"/>
      <c r="L11" s="4"/>
      <c r="M11" s="19"/>
    </row>
    <row r="12" spans="1:13" ht="18" customHeight="1" x14ac:dyDescent="0.45">
      <c r="B12" s="167">
        <f>IF(C12="","",+LARGE($B$5:B11,1)+1)</f>
        <v>3</v>
      </c>
      <c r="C12" s="23">
        <v>867</v>
      </c>
      <c r="D12" s="15">
        <f>IFERROR(VLOOKUP(C12&amp;"-I",Crias!$A$5:$G$6221,7,FALSE),E12)</f>
        <v>40047</v>
      </c>
      <c r="E12" s="15">
        <f>IFERROR(IF(C12="","",VLOOKUP(C12,Crias!$A$5:$G$6221,7,FALSE)),"Novilha")</f>
        <v>45944</v>
      </c>
      <c r="F12" s="16">
        <f>IFERROR(IF(D12="","",((E12-D12+1)/30)+9.5),"S/R")</f>
        <v>206.1</v>
      </c>
      <c r="G12" s="17">
        <f>IF(F12="","",COUNTIF(Crias!$B$5:$B$6221,Matrizes!C12)+A12)</f>
        <v>15</v>
      </c>
      <c r="H12" s="18">
        <f t="shared" si="1"/>
        <v>13.74</v>
      </c>
      <c r="K12" s="19"/>
      <c r="L12" s="4"/>
      <c r="M12" s="19"/>
    </row>
    <row r="13" spans="1:13" ht="18" hidden="1" customHeight="1" x14ac:dyDescent="0.45">
      <c r="B13" s="144"/>
      <c r="C13" s="81">
        <v>869</v>
      </c>
      <c r="D13" s="82">
        <f>IFERROR(VLOOKUP(C13&amp;"-I",Crias!$A$5:$G$6221,7,FALSE),E13)</f>
        <v>39842</v>
      </c>
      <c r="E13" s="82">
        <f>IFERROR(IF(C13="","",VLOOKUP(C13,Crias!$A$5:$G$6221,7,FALSE)),"Novilha")</f>
        <v>44646</v>
      </c>
      <c r="F13" s="83">
        <f t="shared" si="0"/>
        <v>169.66666666666666</v>
      </c>
      <c r="G13" s="99">
        <f>IF(F13="","",COUNTIF(Crias!$B$5:$B$6221,Matrizes!C13)+A13)</f>
        <v>10</v>
      </c>
      <c r="H13" s="80">
        <f t="shared" si="1"/>
        <v>16.966666666666665</v>
      </c>
      <c r="I13" s="22" t="s">
        <v>1089</v>
      </c>
      <c r="K13" s="19"/>
      <c r="L13" s="4"/>
      <c r="M13" s="19"/>
    </row>
    <row r="14" spans="1:13" ht="18" hidden="1" customHeight="1" x14ac:dyDescent="0.45">
      <c r="B14" s="144"/>
      <c r="C14" s="81">
        <v>870</v>
      </c>
      <c r="D14" s="82">
        <f>IFERROR(VLOOKUP(C14&amp;"-I",Crias!$A$5:$G$6221,7,FALSE),E14)</f>
        <v>39669</v>
      </c>
      <c r="E14" s="82">
        <f>IFERROR(IF(C14="","",VLOOKUP(C14,Crias!$A$5:$G$6221,7,FALSE)),"Novilha")</f>
        <v>44605</v>
      </c>
      <c r="F14" s="83">
        <f t="shared" si="0"/>
        <v>174.06666666666666</v>
      </c>
      <c r="G14" s="99">
        <f>IF(F14="","",COUNTIF(Crias!$B$5:$B$6221,Matrizes!C14)+A14)</f>
        <v>13</v>
      </c>
      <c r="H14" s="80">
        <f t="shared" si="1"/>
        <v>13.38974358974359</v>
      </c>
      <c r="I14" s="22" t="s">
        <v>1085</v>
      </c>
      <c r="K14" s="19"/>
      <c r="L14" s="4"/>
      <c r="M14" s="19"/>
    </row>
    <row r="15" spans="1:13" ht="18" hidden="1" customHeight="1" x14ac:dyDescent="0.45">
      <c r="B15" s="14"/>
      <c r="C15" s="81">
        <v>871</v>
      </c>
      <c r="D15" s="82">
        <f>IFERROR(VLOOKUP(C15&amp;"-I",Crias!$A$5:$G$6221,7,FALSE),E15)</f>
        <v>39625</v>
      </c>
      <c r="E15" s="15">
        <f>IFERROR(IF(C15="","",VLOOKUP(C15,Crias!$A$5:$G$6221,7,FALSE)),"Novilha")</f>
        <v>43423</v>
      </c>
      <c r="F15" s="83">
        <f t="shared" si="0"/>
        <v>136.13333333333333</v>
      </c>
      <c r="G15" s="99">
        <f>IF(F15="","",COUNTIF(Crias!$B$5:$B$6221,Matrizes!C15)+A15)</f>
        <v>10</v>
      </c>
      <c r="H15" s="80">
        <f t="shared" si="1"/>
        <v>13.613333333333333</v>
      </c>
      <c r="I15" s="22" t="s">
        <v>920</v>
      </c>
      <c r="K15" s="19"/>
      <c r="L15" s="4"/>
      <c r="M15" s="19"/>
    </row>
    <row r="16" spans="1:13" ht="18" hidden="1" customHeight="1" x14ac:dyDescent="0.45">
      <c r="B16" s="14"/>
      <c r="C16" s="81">
        <v>872</v>
      </c>
      <c r="D16" s="82">
        <f>IFERROR(VLOOKUP(C16&amp;"-I",Crias!$A$5:$G$6221,7,FALSE),E16)</f>
        <v>39670</v>
      </c>
      <c r="E16" s="15">
        <f>IFERROR(IF(C16="","",VLOOKUP(C16,Crias!$A$5:$G$6221,7,FALSE)),"Novilha")</f>
        <v>43834</v>
      </c>
      <c r="F16" s="83">
        <f t="shared" si="0"/>
        <v>148.33333333333334</v>
      </c>
      <c r="G16" s="17">
        <f>IF(F16="","",COUNTIF(Crias!$B$5:$B$6221,Matrizes!C16)+A16)</f>
        <v>11</v>
      </c>
      <c r="H16" s="80">
        <f t="shared" si="1"/>
        <v>13.484848484848486</v>
      </c>
      <c r="I16" s="21"/>
      <c r="K16" s="19"/>
      <c r="L16" s="4"/>
      <c r="M16" s="19"/>
    </row>
    <row r="17" spans="2:13" ht="18" hidden="1" customHeight="1" x14ac:dyDescent="0.45">
      <c r="B17" s="167"/>
      <c r="C17" s="81">
        <v>873</v>
      </c>
      <c r="D17" s="15">
        <f>IFERROR(VLOOKUP(C17&amp;"-I",Crias!$A$5:$G$6221,7,FALSE),E17)</f>
        <v>39715</v>
      </c>
      <c r="E17" s="15">
        <f>IFERROR(IF(C17="","",VLOOKUP(C17,Crias!$A$5:$G$6221,7,FALSE)),"Novilha")</f>
        <v>45369</v>
      </c>
      <c r="F17" s="16">
        <f t="shared" si="0"/>
        <v>198</v>
      </c>
      <c r="G17" s="17">
        <f>IF(F17="","",COUNTIF(Crias!$B$5:$B$6221,Matrizes!C17)+A17)</f>
        <v>15</v>
      </c>
      <c r="H17" s="18">
        <f t="shared" si="1"/>
        <v>13.2</v>
      </c>
      <c r="I17" s="22" t="s">
        <v>1200</v>
      </c>
      <c r="K17" s="19"/>
      <c r="L17" s="4"/>
      <c r="M17" s="19"/>
    </row>
    <row r="18" spans="2:13" ht="18" customHeight="1" x14ac:dyDescent="0.45">
      <c r="B18" s="167">
        <f>IF(C18="","",+LARGE($B$5:B17,1)+1)</f>
        <v>4</v>
      </c>
      <c r="C18" s="23">
        <v>874</v>
      </c>
      <c r="D18" s="15">
        <f>IFERROR(VLOOKUP(C18&amp;"-I",Crias!$A$5:$G$6221,7,FALSE),E18)</f>
        <v>39846</v>
      </c>
      <c r="E18" s="15">
        <f>IFERROR(IF(C18="","",VLOOKUP(C18,Crias!$A$5:$G$6221,7,FALSE)),"Novilha")</f>
        <v>46105</v>
      </c>
      <c r="F18" s="16">
        <f t="shared" si="0"/>
        <v>218.16666666666666</v>
      </c>
      <c r="G18" s="17">
        <f>IF(F18="","",COUNTIF(Crias!$B$5:$B$6221,Matrizes!C18)+A18)</f>
        <v>12</v>
      </c>
      <c r="H18" s="18">
        <f t="shared" si="1"/>
        <v>18.180555555555554</v>
      </c>
      <c r="I18" s="21"/>
      <c r="K18" s="19"/>
      <c r="L18" s="4"/>
      <c r="M18" s="19"/>
    </row>
    <row r="19" spans="2:13" ht="18" hidden="1" customHeight="1" x14ac:dyDescent="0.45">
      <c r="B19" s="14"/>
      <c r="C19" s="81">
        <v>875</v>
      </c>
      <c r="D19" s="82">
        <f>IFERROR(VLOOKUP(C19&amp;"-I",Crias!$A$5:$G$6221,7,FALSE),E19)</f>
        <v>39853</v>
      </c>
      <c r="E19" s="82">
        <f>IFERROR(IF(C19="","",VLOOKUP(C19,Crias!$A$5:$G$6221,7,FALSE)),"Novilha")</f>
        <v>44197</v>
      </c>
      <c r="F19" s="83">
        <f t="shared" si="0"/>
        <v>154.33333333333334</v>
      </c>
      <c r="G19" s="99">
        <f>IF(F19="","",COUNTIF(Crias!$B$5:$B$6221,Matrizes!C19)+A19)</f>
        <v>10</v>
      </c>
      <c r="H19" s="80">
        <f t="shared" si="1"/>
        <v>15.433333333333334</v>
      </c>
      <c r="I19" s="22" t="s">
        <v>942</v>
      </c>
      <c r="J19" s="4"/>
      <c r="K19" s="19"/>
      <c r="L19" s="4"/>
      <c r="M19" s="19"/>
    </row>
    <row r="20" spans="2:13" ht="18" hidden="1" customHeight="1" x14ac:dyDescent="0.45">
      <c r="B20" s="167"/>
      <c r="C20" s="81">
        <v>876</v>
      </c>
      <c r="D20" s="15">
        <f>IFERROR(VLOOKUP(C20&amp;"-I",Crias!$A$5:$G$6221,7,FALSE),E20)</f>
        <v>39851</v>
      </c>
      <c r="E20" s="15">
        <f>IFERROR(IF(C20="","",VLOOKUP(C20,Crias!$A$5:$G$6221,7,FALSE)),"Novilha")</f>
        <v>45673</v>
      </c>
      <c r="F20" s="16">
        <f t="shared" si="0"/>
        <v>203.6</v>
      </c>
      <c r="G20" s="17">
        <f>IF(F20="","",COUNTIF(Crias!$B$5:$B$6221,Matrizes!C20)+A20)</f>
        <v>14</v>
      </c>
      <c r="H20" s="18">
        <f t="shared" si="1"/>
        <v>14.542857142857143</v>
      </c>
      <c r="I20" s="22" t="s">
        <v>1196</v>
      </c>
      <c r="K20" s="19"/>
      <c r="L20" s="4"/>
      <c r="M20" s="19"/>
    </row>
    <row r="21" spans="2:13" ht="18" hidden="1" customHeight="1" x14ac:dyDescent="0.45">
      <c r="B21" s="144"/>
      <c r="C21" s="81">
        <v>877</v>
      </c>
      <c r="D21" s="82">
        <f>IFERROR(VLOOKUP(C21&amp;"-I",Crias!$A$5:$G$6221,7,FALSE),E21)</f>
        <v>39835</v>
      </c>
      <c r="E21" s="82">
        <f>IFERROR(IF(C21="","",VLOOKUP(C21,Crias!$A$5:$G$6221,7,FALSE)),"Novilha")</f>
        <v>44510</v>
      </c>
      <c r="F21" s="83">
        <f t="shared" si="0"/>
        <v>165.36666666666667</v>
      </c>
      <c r="G21" s="99">
        <v>12</v>
      </c>
      <c r="H21" s="80">
        <f t="shared" si="1"/>
        <v>13.780555555555557</v>
      </c>
      <c r="I21" s="22" t="s">
        <v>1089</v>
      </c>
      <c r="K21" s="19"/>
      <c r="L21" s="4"/>
      <c r="M21" s="19"/>
    </row>
    <row r="22" spans="2:13" ht="18" hidden="1" customHeight="1" x14ac:dyDescent="0.45">
      <c r="B22" s="144"/>
      <c r="C22" s="81">
        <v>880</v>
      </c>
      <c r="D22" s="82">
        <f>IFERROR(VLOOKUP(C22&amp;"-I",Crias!$A$5:$G$6221,7,FALSE),E22)</f>
        <v>39752</v>
      </c>
      <c r="E22" s="82">
        <f>IFERROR(IF(C22="","",VLOOKUP(C22,Crias!$A$5:$G$6221,7,FALSE)),"Novilha")</f>
        <v>44821</v>
      </c>
      <c r="F22" s="83">
        <f t="shared" si="0"/>
        <v>178.5</v>
      </c>
      <c r="G22" s="99">
        <f>IF(F22="","",COUNTIF(Crias!$B$5:$B$6221,Matrizes!C22)+A22)</f>
        <v>12</v>
      </c>
      <c r="H22" s="80">
        <f t="shared" si="1"/>
        <v>14.875</v>
      </c>
      <c r="I22" s="22" t="s">
        <v>1089</v>
      </c>
      <c r="K22" s="19"/>
      <c r="L22" s="4"/>
      <c r="M22" s="19"/>
    </row>
    <row r="23" spans="2:13" ht="18" hidden="1" customHeight="1" x14ac:dyDescent="0.5">
      <c r="B23" s="167"/>
      <c r="C23" s="23">
        <v>881</v>
      </c>
      <c r="D23" s="15">
        <f>IFERROR(VLOOKUP(C23&amp;"-I",Crias!$A$5:$G$6221,7,FALSE),E23)</f>
        <v>39754</v>
      </c>
      <c r="E23" s="15">
        <f>IFERROR(IF(C23="","",VLOOKUP(C23,Crias!$A$5:$G$6221,7,FALSE)),"Novilha")</f>
        <v>45684</v>
      </c>
      <c r="F23" s="16">
        <f t="shared" si="0"/>
        <v>207.2</v>
      </c>
      <c r="G23" s="17">
        <f>IF(F23="","",COUNTIF(Crias!$B$5:$B$6221,Matrizes!C23)+A23)</f>
        <v>15</v>
      </c>
      <c r="H23" s="18">
        <f t="shared" si="1"/>
        <v>13.813333333333333</v>
      </c>
      <c r="I23" s="22" t="s">
        <v>1173</v>
      </c>
      <c r="K23" s="19"/>
      <c r="L23" s="4"/>
      <c r="M23" s="19"/>
    </row>
    <row r="24" spans="2:13" ht="18" hidden="1" customHeight="1" x14ac:dyDescent="0.45">
      <c r="B24" s="144"/>
      <c r="C24" s="81">
        <v>882</v>
      </c>
      <c r="D24" s="82">
        <f>IFERROR(VLOOKUP(C24&amp;"-I",Crias!$A$5:$G$6221,7,FALSE),E24)</f>
        <v>39631</v>
      </c>
      <c r="E24" s="82">
        <f>IFERROR(IF(C24="","",VLOOKUP(C24,Crias!$A$5:$G$6221,7,FALSE)),"Novilha")</f>
        <v>44287</v>
      </c>
      <c r="F24" s="83">
        <f t="shared" si="0"/>
        <v>164.73333333333332</v>
      </c>
      <c r="G24" s="99">
        <f>IF(F24="","",COUNTIF(Crias!$B$5:$B$6221,Matrizes!C24)+A24)</f>
        <v>11</v>
      </c>
      <c r="H24" s="80">
        <f t="shared" si="1"/>
        <v>14.975757575757575</v>
      </c>
      <c r="I24" s="22" t="s">
        <v>1089</v>
      </c>
      <c r="K24" s="19"/>
      <c r="L24" s="4"/>
      <c r="M24" s="19"/>
    </row>
    <row r="25" spans="2:13" ht="18" hidden="1" customHeight="1" x14ac:dyDescent="0.45">
      <c r="B25" s="144"/>
      <c r="C25" s="81">
        <v>884</v>
      </c>
      <c r="D25" s="82">
        <f>IFERROR(VLOOKUP(C25&amp;"-I",Crias!$A$5:$G$6221,7,FALSE),E25)</f>
        <v>39854</v>
      </c>
      <c r="E25" s="82">
        <f>IFERROR(IF(C25="","",VLOOKUP(C25,Crias!$A$5:$G$6221,7,FALSE)),"Novilha")</f>
        <v>44939</v>
      </c>
      <c r="F25" s="83">
        <f t="shared" si="0"/>
        <v>179.03333333333333</v>
      </c>
      <c r="G25" s="99">
        <f>IF(F25="","",COUNTIF(Crias!$B$5:$B$6221,Matrizes!C25)+A25)</f>
        <v>12</v>
      </c>
      <c r="H25" s="80">
        <f t="shared" si="1"/>
        <v>14.919444444444444</v>
      </c>
      <c r="I25" s="22" t="s">
        <v>1089</v>
      </c>
      <c r="K25" s="19"/>
      <c r="L25" s="4"/>
      <c r="M25" s="19"/>
    </row>
    <row r="26" spans="2:13" ht="18" hidden="1" customHeight="1" x14ac:dyDescent="0.45">
      <c r="B26" s="144"/>
      <c r="C26" s="81">
        <v>885</v>
      </c>
      <c r="D26" s="82">
        <f>IFERROR(VLOOKUP(C26&amp;"-I",Crias!$A$5:$G$6221,7,FALSE),E26)</f>
        <v>39834</v>
      </c>
      <c r="E26" s="82">
        <f>IFERROR(IF(C26="","",VLOOKUP(C26,Crias!$A$5:$G$6221,7,FALSE)),"Novilha")</f>
        <v>44894</v>
      </c>
      <c r="F26" s="83">
        <f t="shared" si="0"/>
        <v>178.2</v>
      </c>
      <c r="G26" s="99">
        <f>IF(F26="","",COUNTIF(Crias!$B$5:$B$6221,Matrizes!C26)+A26)</f>
        <v>12</v>
      </c>
      <c r="H26" s="80">
        <f t="shared" si="1"/>
        <v>14.85</v>
      </c>
      <c r="I26" s="22" t="s">
        <v>1089</v>
      </c>
      <c r="K26" s="19"/>
      <c r="L26" s="4"/>
      <c r="M26" s="19"/>
    </row>
    <row r="27" spans="2:13" ht="18" hidden="1" customHeight="1" x14ac:dyDescent="0.45">
      <c r="B27" s="14"/>
      <c r="C27" s="23">
        <v>886</v>
      </c>
      <c r="D27" s="15">
        <f>IFERROR(VLOOKUP(C27&amp;"-I",Crias!$A$5:$G$6221,7,FALSE),E27)</f>
        <v>39755</v>
      </c>
      <c r="E27" s="15">
        <f>IFERROR(IF(C27="","",VLOOKUP(C27,Crias!$A$5:$G$6221,7,FALSE)),"Novilha")</f>
        <v>45404</v>
      </c>
      <c r="F27" s="16">
        <f t="shared" si="0"/>
        <v>197.83333333333334</v>
      </c>
      <c r="G27" s="17">
        <f>IF(F27="","",COUNTIF(Crias!$B$5:$B$6221,Matrizes!C27)+A27)</f>
        <v>14</v>
      </c>
      <c r="H27" s="18">
        <f t="shared" si="1"/>
        <v>14.130952380952381</v>
      </c>
      <c r="I27" s="22" t="s">
        <v>1149</v>
      </c>
      <c r="K27" s="19"/>
      <c r="L27" s="4"/>
      <c r="M27" s="19"/>
    </row>
    <row r="28" spans="2:13" ht="18" hidden="1" customHeight="1" x14ac:dyDescent="0.45">
      <c r="B28" s="144"/>
      <c r="C28" s="81">
        <v>889</v>
      </c>
      <c r="D28" s="82">
        <f>IFERROR(VLOOKUP(C28&amp;"-I",Crias!$A$5:$G$6221,7,FALSE),E28)</f>
        <v>39676</v>
      </c>
      <c r="E28" s="82">
        <f>IFERROR(IF(C28="","",VLOOKUP(C28,Crias!$A$5:$G$6221,7,FALSE)),"Novilha")</f>
        <v>44860</v>
      </c>
      <c r="F28" s="83">
        <f t="shared" si="0"/>
        <v>182.33333333333334</v>
      </c>
      <c r="G28" s="99">
        <f>IF(F28="","",COUNTIF(Crias!$B$5:$B$6221,Matrizes!C28)+A28)</f>
        <v>12</v>
      </c>
      <c r="H28" s="80">
        <f t="shared" si="1"/>
        <v>15.194444444444445</v>
      </c>
      <c r="I28" s="22" t="s">
        <v>1084</v>
      </c>
      <c r="K28" s="19"/>
      <c r="L28" s="4"/>
      <c r="M28" s="19"/>
    </row>
    <row r="29" spans="2:13" ht="18" customHeight="1" x14ac:dyDescent="0.45">
      <c r="B29" s="167">
        <f>IF(C29="","",+LARGE($B$5:B28,1)+1)</f>
        <v>5</v>
      </c>
      <c r="C29" s="23">
        <v>893</v>
      </c>
      <c r="D29" s="15">
        <f>IFERROR(VLOOKUP(C29&amp;"-I",Crias!$A$5:$G$6221,7,FALSE),E29)</f>
        <v>39951</v>
      </c>
      <c r="E29" s="15">
        <f>IFERROR(IF(C29="","",VLOOKUP(C29,Crias!$A$5:$G$6221,7,FALSE)),"Novilha")</f>
        <v>45835</v>
      </c>
      <c r="F29" s="16">
        <f t="shared" si="0"/>
        <v>205.66666666666666</v>
      </c>
      <c r="G29" s="17">
        <f>IF(F29="","",COUNTIF(Crias!$B$5:$B$6221,Matrizes!C29)+A29)</f>
        <v>12</v>
      </c>
      <c r="H29" s="18">
        <f t="shared" si="1"/>
        <v>17.138888888888889</v>
      </c>
      <c r="I29" s="21"/>
      <c r="K29" s="19"/>
      <c r="L29" s="4"/>
      <c r="M29" s="19"/>
    </row>
    <row r="30" spans="2:13" ht="18" hidden="1" customHeight="1" x14ac:dyDescent="0.45">
      <c r="B30" s="167"/>
      <c r="C30" s="81">
        <v>894</v>
      </c>
      <c r="D30" s="82">
        <f>IFERROR(VLOOKUP(C30&amp;"-I",Crias!$A$5:$G$6221,7,FALSE),E30)</f>
        <v>39846</v>
      </c>
      <c r="E30" s="82">
        <f>IFERROR(IF(C30="","",VLOOKUP(C30,Crias!$A$5:$G$6221,7,FALSE)),"Novilha")</f>
        <v>45792</v>
      </c>
      <c r="F30" s="83">
        <f t="shared" si="0"/>
        <v>207.73333333333332</v>
      </c>
      <c r="G30" s="99">
        <f>IF(F30="","",COUNTIF(Crias!$B$5:$B$6221,Matrizes!C30)+A30)</f>
        <v>13</v>
      </c>
      <c r="H30" s="80">
        <f t="shared" si="1"/>
        <v>15.979487179487178</v>
      </c>
      <c r="I30" s="22" t="s">
        <v>1150</v>
      </c>
      <c r="K30" s="19"/>
      <c r="L30" s="4"/>
      <c r="M30" s="19"/>
    </row>
    <row r="31" spans="2:13" ht="18" hidden="1" customHeight="1" x14ac:dyDescent="0.45">
      <c r="B31" s="14"/>
      <c r="C31" s="81">
        <v>896</v>
      </c>
      <c r="D31" s="82">
        <f>IFERROR(VLOOKUP(C31&amp;"-I",Crias!$A$5:$G$6221,7,FALSE),E31)</f>
        <v>39878</v>
      </c>
      <c r="E31" s="82">
        <f>IFERROR(IF(C31="","",VLOOKUP(C31,Crias!$A$5:$G$6221,7,FALSE)),"Novilha")</f>
        <v>43476</v>
      </c>
      <c r="F31" s="83">
        <f t="shared" si="0"/>
        <v>129.46666666666667</v>
      </c>
      <c r="G31" s="99">
        <f>IF(F31="","",COUNTIF(Crias!$B$5:$B$6221,Matrizes!C31)+A31)</f>
        <v>9</v>
      </c>
      <c r="H31" s="80">
        <f t="shared" si="1"/>
        <v>14.385185185185186</v>
      </c>
      <c r="I31" s="22" t="s">
        <v>923</v>
      </c>
      <c r="K31" s="19"/>
      <c r="L31" s="4"/>
      <c r="M31" s="19"/>
    </row>
    <row r="32" spans="2:13" ht="18" hidden="1" customHeight="1" x14ac:dyDescent="0.45">
      <c r="B32" s="14"/>
      <c r="C32" s="81">
        <v>897</v>
      </c>
      <c r="D32" s="82">
        <f>IFERROR(VLOOKUP(C32&amp;"-I",Crias!$A$5:$G$6221,7,FALSE),E32)</f>
        <v>39755</v>
      </c>
      <c r="E32" s="82">
        <f>IFERROR(IF(C32="","",VLOOKUP(C32,Crias!$A$5:$G$6221,7,FALSE)),"Novilha")</f>
        <v>43692</v>
      </c>
      <c r="F32" s="83">
        <f t="shared" si="0"/>
        <v>140.76666666666668</v>
      </c>
      <c r="G32" s="99">
        <f>IF(F32="","",COUNTIF(Crias!$B$5:$B$6221,Matrizes!C32)+A32)</f>
        <v>10</v>
      </c>
      <c r="H32" s="80">
        <f t="shared" si="1"/>
        <v>14.076666666666668</v>
      </c>
      <c r="I32" s="22" t="s">
        <v>922</v>
      </c>
      <c r="K32" s="19"/>
      <c r="L32" s="4"/>
      <c r="M32" s="19"/>
    </row>
    <row r="33" spans="2:13" ht="18" hidden="1" customHeight="1" x14ac:dyDescent="0.45">
      <c r="B33" s="144"/>
      <c r="C33" s="81">
        <v>898</v>
      </c>
      <c r="D33" s="82">
        <f>IFERROR(VLOOKUP(C33&amp;"-I",Crias!$A$5:$G$6221,7,FALSE),E33)</f>
        <v>39790</v>
      </c>
      <c r="E33" s="82">
        <f>IFERROR(IF(C33="","",VLOOKUP(C33,Crias!$A$5:$G$6221,7,FALSE)),"Novilha")</f>
        <v>44431</v>
      </c>
      <c r="F33" s="83">
        <f t="shared" si="0"/>
        <v>164.23333333333332</v>
      </c>
      <c r="G33" s="99">
        <f>IF(F33="","",COUNTIF(Crias!$B$5:$B$6221,Matrizes!C33)+A33)</f>
        <v>12</v>
      </c>
      <c r="H33" s="80">
        <f t="shared" si="1"/>
        <v>13.68611111111111</v>
      </c>
      <c r="I33" s="22" t="s">
        <v>1089</v>
      </c>
      <c r="K33" s="19"/>
      <c r="L33" s="4"/>
      <c r="M33" s="19"/>
    </row>
    <row r="34" spans="2:13" ht="18" hidden="1" customHeight="1" x14ac:dyDescent="0.45">
      <c r="B34" s="167"/>
      <c r="C34" s="81">
        <v>899</v>
      </c>
      <c r="D34" s="15">
        <f>IFERROR(VLOOKUP(C34&amp;"-I",Crias!$A$5:$G$6221,7,FALSE),E34)</f>
        <v>39976</v>
      </c>
      <c r="E34" s="15">
        <f>IFERROR(IF(C34="","",VLOOKUP(C34,Crias!$A$5:$G$6221,7,FALSE)),"Novilha")</f>
        <v>45881</v>
      </c>
      <c r="F34" s="16">
        <f t="shared" si="0"/>
        <v>206.36666666666667</v>
      </c>
      <c r="G34" s="17">
        <f>IF(F34="","",COUNTIF(Crias!$B$5:$B$6221,Matrizes!C34)+A34)</f>
        <v>14</v>
      </c>
      <c r="H34" s="18">
        <f t="shared" si="1"/>
        <v>14.740476190476191</v>
      </c>
      <c r="I34" s="22" t="s">
        <v>1196</v>
      </c>
      <c r="K34" s="19"/>
      <c r="L34" s="4"/>
      <c r="M34" s="19"/>
    </row>
    <row r="35" spans="2:13" ht="18" hidden="1" customHeight="1" x14ac:dyDescent="0.45">
      <c r="B35" s="167"/>
      <c r="C35" s="23">
        <v>926</v>
      </c>
      <c r="D35" s="15">
        <f>IFERROR(VLOOKUP(C35&amp;"-I",Crias!$A$5:$G$6221,7,FALSE),E35)</f>
        <v>39838</v>
      </c>
      <c r="E35" s="15">
        <f>IFERROR(IF(C35="","",VLOOKUP(C35,Crias!$A$5:$G$6221,7,FALSE)),"Novilha")</f>
        <v>45628</v>
      </c>
      <c r="F35" s="16">
        <f t="shared" si="0"/>
        <v>202.53333333333333</v>
      </c>
      <c r="G35" s="17">
        <f>IF(F35="","",COUNTIF(Crias!$B$5:$B$6221,Matrizes!C35)+A35)</f>
        <v>14</v>
      </c>
      <c r="H35" s="18">
        <f t="shared" si="1"/>
        <v>14.466666666666667</v>
      </c>
      <c r="I35" s="22" t="s">
        <v>1162</v>
      </c>
      <c r="K35" s="19"/>
      <c r="L35" s="4"/>
      <c r="M35" s="19"/>
    </row>
    <row r="36" spans="2:13" ht="18" hidden="1" customHeight="1" x14ac:dyDescent="0.45">
      <c r="B36" s="167"/>
      <c r="C36" s="81">
        <v>930</v>
      </c>
      <c r="D36" s="15">
        <f>IFERROR(VLOOKUP(C36&amp;"-I",Crias!$A$5:$G$6221,7,FALSE),E36)</f>
        <v>40051</v>
      </c>
      <c r="E36" s="15">
        <f>IFERROR(IF(C36="","",VLOOKUP(C36,Crias!$A$5:$G$6221,7,FALSE)),"Novilha")</f>
        <v>45991</v>
      </c>
      <c r="F36" s="16">
        <f t="shared" si="0"/>
        <v>207.53333333333333</v>
      </c>
      <c r="G36" s="17">
        <f>IF(F36="","",COUNTIF(Crias!$B$5:$B$6221,Matrizes!C36)+A36)</f>
        <v>13</v>
      </c>
      <c r="H36" s="18">
        <f t="shared" si="1"/>
        <v>15.964102564102564</v>
      </c>
      <c r="I36" s="22" t="s">
        <v>1199</v>
      </c>
      <c r="K36" s="19"/>
      <c r="L36" s="4"/>
      <c r="M36" s="19"/>
    </row>
    <row r="37" spans="2:13" ht="18" customHeight="1" x14ac:dyDescent="0.45">
      <c r="B37" s="169">
        <f>IF(C37="","",+LARGE($B$5:B36,1)+1)</f>
        <v>6</v>
      </c>
      <c r="C37" s="170">
        <v>931</v>
      </c>
      <c r="D37" s="15">
        <f>IFERROR(VLOOKUP(C37&amp;"-I",Crias!$A$5:$G$6221,7,FALSE),E37)</f>
        <v>40072</v>
      </c>
      <c r="E37" s="15">
        <f>IFERROR(IF(C37="","",VLOOKUP(C37,Crias!$A$5:$G$6221,7,FALSE)),"Novilha")</f>
        <v>45393</v>
      </c>
      <c r="F37" s="16">
        <f t="shared" si="0"/>
        <v>186.9</v>
      </c>
      <c r="G37" s="17">
        <f>IF(F37="","",COUNTIF(Crias!$B$5:$B$6221,Matrizes!C37)+A37)</f>
        <v>12</v>
      </c>
      <c r="H37" s="18">
        <f t="shared" si="1"/>
        <v>15.575000000000001</v>
      </c>
      <c r="I37" s="22"/>
      <c r="K37" s="19"/>
      <c r="L37" s="4"/>
      <c r="M37" s="19"/>
    </row>
    <row r="38" spans="2:13" ht="18" hidden="1" customHeight="1" x14ac:dyDescent="0.45">
      <c r="B38" s="14"/>
      <c r="C38" s="81">
        <v>933</v>
      </c>
      <c r="D38" s="82">
        <f>IFERROR(VLOOKUP(C38&amp;"-I",Crias!$A$5:$G$6221,7,FALSE),E38)</f>
        <v>40059</v>
      </c>
      <c r="E38" s="82">
        <f>IFERROR(IF(C38="","",VLOOKUP(C38,Crias!$A$5:$G$6221,7,FALSE)),"Novilha")</f>
        <v>45174</v>
      </c>
      <c r="F38" s="83">
        <f t="shared" si="0"/>
        <v>180.03333333333333</v>
      </c>
      <c r="G38" s="99">
        <f>IF(F38="","",COUNTIF(Crias!$B$5:$B$6221,Matrizes!C38)+A38)</f>
        <v>14</v>
      </c>
      <c r="H38" s="80">
        <f t="shared" si="1"/>
        <v>12.859523809523809</v>
      </c>
      <c r="I38" s="22" t="s">
        <v>1103</v>
      </c>
      <c r="K38" s="19"/>
      <c r="L38" s="4"/>
      <c r="M38" s="19"/>
    </row>
    <row r="39" spans="2:13" ht="18" hidden="1" customHeight="1" x14ac:dyDescent="0.45">
      <c r="B39" s="167"/>
      <c r="C39" s="81">
        <v>934</v>
      </c>
      <c r="D39" s="15">
        <f>IFERROR(VLOOKUP(C39&amp;"-I",Crias!$A$5:$G$6221,7,FALSE),E39)</f>
        <v>40060</v>
      </c>
      <c r="E39" s="15">
        <f>IFERROR(IF(C39="","",VLOOKUP(C39,Crias!$A$5:$G$6221,7,FALSE)),"Novilha")</f>
        <v>45953</v>
      </c>
      <c r="F39" s="16">
        <f t="shared" si="0"/>
        <v>205.96666666666667</v>
      </c>
      <c r="G39" s="17">
        <f>IF(F39="","",COUNTIF(Crias!$B$5:$B$6221,Matrizes!C39)+A39)</f>
        <v>13</v>
      </c>
      <c r="H39" s="18">
        <f t="shared" si="1"/>
        <v>15.843589743589744</v>
      </c>
      <c r="I39" s="22" t="s">
        <v>1196</v>
      </c>
      <c r="K39" s="19"/>
      <c r="L39" s="4"/>
      <c r="M39" s="19"/>
    </row>
    <row r="40" spans="2:13" ht="18" hidden="1" customHeight="1" x14ac:dyDescent="0.45">
      <c r="B40" s="14"/>
      <c r="C40" s="81">
        <v>936</v>
      </c>
      <c r="D40" s="15">
        <f>IFERROR(VLOOKUP(C40&amp;"-I",Crias!$A$5:$G$6221,7,FALSE),E40)</f>
        <v>40056</v>
      </c>
      <c r="E40" s="15">
        <f>IFERROR(IF(C40="","",VLOOKUP(C40,Crias!$A$5:$G$6221,7,FALSE)),"Novilha")</f>
        <v>44993</v>
      </c>
      <c r="F40" s="16">
        <f t="shared" si="0"/>
        <v>174.1</v>
      </c>
      <c r="G40" s="17">
        <f>IF(F40="","",COUNTIF(Crias!$B$5:$B$6221,Matrizes!C40)+A40)</f>
        <v>12</v>
      </c>
      <c r="H40" s="18">
        <f t="shared" si="1"/>
        <v>14.508333333333333</v>
      </c>
      <c r="I40" s="22" t="s">
        <v>1148</v>
      </c>
      <c r="K40" s="19"/>
      <c r="L40" s="4"/>
      <c r="M40" s="19"/>
    </row>
    <row r="41" spans="2:13" ht="18" hidden="1" customHeight="1" x14ac:dyDescent="0.45">
      <c r="B41" s="167"/>
      <c r="C41" s="81">
        <v>939</v>
      </c>
      <c r="D41" s="15">
        <f>IFERROR(VLOOKUP(C41&amp;"-I",Crias!$A$5:$G$6221,7,FALSE),E41)</f>
        <v>40085</v>
      </c>
      <c r="E41" s="15">
        <f>IFERROR(IF(C41="","",VLOOKUP(C41,Crias!$A$5:$G$6221,7,FALSE)),"Novilha")</f>
        <v>45642</v>
      </c>
      <c r="F41" s="16">
        <f t="shared" si="0"/>
        <v>194.76666666666668</v>
      </c>
      <c r="G41" s="17">
        <f>IF(F41="","",COUNTIF(Crias!$B$5:$B$6221,Matrizes!C41)+A41)</f>
        <v>12</v>
      </c>
      <c r="H41" s="18">
        <f t="shared" si="1"/>
        <v>16.230555555555558</v>
      </c>
      <c r="I41" s="22" t="s">
        <v>1196</v>
      </c>
      <c r="K41" s="19"/>
      <c r="L41" s="4"/>
      <c r="M41" s="19"/>
    </row>
    <row r="42" spans="2:13" ht="18" hidden="1" customHeight="1" x14ac:dyDescent="0.45">
      <c r="B42" s="14"/>
      <c r="C42" s="81">
        <v>942</v>
      </c>
      <c r="D42" s="82">
        <f>IFERROR(VLOOKUP(C42&amp;"-I",Crias!$A$5:$G$6221,7,FALSE),E42)</f>
        <v>40052</v>
      </c>
      <c r="E42" s="82">
        <f>IFERROR(IF(C42="","",VLOOKUP(C42,Crias!$A$5:$G$6221,7,FALSE)),"Novilha")</f>
        <v>43858</v>
      </c>
      <c r="F42" s="83">
        <f t="shared" si="0"/>
        <v>136.4</v>
      </c>
      <c r="G42" s="99">
        <f>IF(F42="","",COUNTIF(Crias!$B$5:$B$6221,Matrizes!C42)+A42)</f>
        <v>9</v>
      </c>
      <c r="H42" s="80">
        <f t="shared" si="1"/>
        <v>15.155555555555557</v>
      </c>
      <c r="I42" s="22" t="s">
        <v>1090</v>
      </c>
      <c r="K42" s="19"/>
      <c r="L42" s="4"/>
      <c r="M42" s="19"/>
    </row>
    <row r="43" spans="2:13" ht="18" hidden="1" customHeight="1" x14ac:dyDescent="0.45">
      <c r="B43" s="167"/>
      <c r="C43" s="81">
        <v>943</v>
      </c>
      <c r="D43" s="15">
        <f>IFERROR(VLOOKUP(C43&amp;"-I",Crias!$A$5:$G$6221,7,FALSE),E43)</f>
        <v>40066</v>
      </c>
      <c r="E43" s="15">
        <f>IFERROR(IF(C43="","",VLOOKUP(C43,Crias!$A$5:$G$6221,7,FALSE)),"Novilha")</f>
        <v>45700</v>
      </c>
      <c r="F43" s="16">
        <f t="shared" si="0"/>
        <v>197.33333333333334</v>
      </c>
      <c r="G43" s="17">
        <f>IF(F43="","",COUNTIF(Crias!$B$5:$B$6221,Matrizes!C43)+A43)</f>
        <v>14</v>
      </c>
      <c r="H43" s="18">
        <f t="shared" si="1"/>
        <v>14.095238095238097</v>
      </c>
      <c r="I43" s="22" t="s">
        <v>1196</v>
      </c>
      <c r="K43" s="19"/>
      <c r="L43" s="4"/>
      <c r="M43" s="19"/>
    </row>
    <row r="44" spans="2:13" ht="18" hidden="1" customHeight="1" x14ac:dyDescent="0.45">
      <c r="B44" s="14"/>
      <c r="C44" s="81">
        <v>944</v>
      </c>
      <c r="D44" s="82">
        <f>IFERROR(VLOOKUP(C44&amp;"-I",Crias!$A$5:$G$6221,7,FALSE),E44)</f>
        <v>40063</v>
      </c>
      <c r="E44" s="82">
        <f>IFERROR(IF(C44="","",VLOOKUP(C44,Crias!$A$5:$G$6221,7,FALSE)),"Novilha")</f>
        <v>44107</v>
      </c>
      <c r="F44" s="83">
        <f t="shared" si="0"/>
        <v>144.33333333333334</v>
      </c>
      <c r="G44" s="99">
        <f>IF(F44="","",COUNTIF(Crias!$B$5:$B$6221,Matrizes!C44)+A44)</f>
        <v>10</v>
      </c>
      <c r="H44" s="80">
        <f t="shared" si="1"/>
        <v>14.433333333333334</v>
      </c>
      <c r="I44" s="22" t="s">
        <v>921</v>
      </c>
      <c r="K44" s="19"/>
      <c r="L44" s="4"/>
      <c r="M44" s="19"/>
    </row>
    <row r="45" spans="2:13" ht="18" hidden="1" customHeight="1" x14ac:dyDescent="0.45">
      <c r="B45" s="167"/>
      <c r="C45" s="81">
        <v>945</v>
      </c>
      <c r="D45" s="15">
        <f>IFERROR(VLOOKUP(C45&amp;"-I",Crias!$A$5:$G$6221,7,FALSE),E45)</f>
        <v>40065</v>
      </c>
      <c r="E45" s="15">
        <f>IFERROR(IF(C45="","",VLOOKUP(C45,Crias!$A$5:$G$6221,7,FALSE)),"Novilha")</f>
        <v>45595</v>
      </c>
      <c r="F45" s="16">
        <f t="shared" si="0"/>
        <v>193.86666666666667</v>
      </c>
      <c r="G45" s="17">
        <f>IF(F45="","",COUNTIF(Crias!$B$5:$B$6221,Matrizes!C45)+A45)</f>
        <v>13</v>
      </c>
      <c r="H45" s="18">
        <f t="shared" si="1"/>
        <v>14.912820512820513</v>
      </c>
      <c r="I45" s="22" t="s">
        <v>1196</v>
      </c>
      <c r="K45" s="19"/>
      <c r="L45" s="4"/>
      <c r="M45" s="19"/>
    </row>
    <row r="46" spans="2:13" ht="18" hidden="1" customHeight="1" x14ac:dyDescent="0.45">
      <c r="B46" s="167"/>
      <c r="C46" s="81">
        <v>946</v>
      </c>
      <c r="D46" s="15">
        <f>IFERROR(VLOOKUP(C46&amp;"-I",Crias!$A$5:$G$6221,7,FALSE),E46)</f>
        <v>40050</v>
      </c>
      <c r="E46" s="15">
        <f>IFERROR(IF(C46="","",VLOOKUP(C46,Crias!$A$5:$G$6221,7,FALSE)),"Novilha")</f>
        <v>45461</v>
      </c>
      <c r="F46" s="16">
        <f t="shared" si="0"/>
        <v>189.9</v>
      </c>
      <c r="G46" s="17">
        <f>IF(F46="","",COUNTIF(Crias!$B$5:$B$6221,Matrizes!C46)+A46)</f>
        <v>13</v>
      </c>
      <c r="H46" s="18">
        <f t="shared" si="1"/>
        <v>14.607692307692307</v>
      </c>
      <c r="I46" s="22" t="s">
        <v>1196</v>
      </c>
      <c r="K46" s="19"/>
      <c r="L46" s="4"/>
      <c r="M46" s="19"/>
    </row>
    <row r="47" spans="2:13" ht="18" hidden="1" customHeight="1" x14ac:dyDescent="0.45">
      <c r="B47" s="14"/>
      <c r="C47" s="81">
        <v>947</v>
      </c>
      <c r="D47" s="82">
        <f>IFERROR(VLOOKUP(C47&amp;"-I",Crias!$A$5:$G$6221,7,FALSE),E47)</f>
        <v>40062</v>
      </c>
      <c r="E47" s="82">
        <f>IFERROR(IF(C47="","",VLOOKUP(C47,Crias!$A$5:$G$6221,7,FALSE)),"Novilha")</f>
        <v>45289</v>
      </c>
      <c r="F47" s="83">
        <f t="shared" si="0"/>
        <v>183.76666666666668</v>
      </c>
      <c r="G47" s="99">
        <f>IF(F47="","",COUNTIF(Crias!$B$5:$B$6221,Matrizes!C47)+A47)</f>
        <v>12</v>
      </c>
      <c r="H47" s="80">
        <f t="shared" si="1"/>
        <v>15.31388888888889</v>
      </c>
      <c r="I47" s="22" t="s">
        <v>1104</v>
      </c>
      <c r="K47" s="19"/>
      <c r="L47" s="4"/>
      <c r="M47" s="19"/>
    </row>
    <row r="48" spans="2:13" ht="18" hidden="1" customHeight="1" x14ac:dyDescent="0.45">
      <c r="B48" s="14"/>
      <c r="C48" s="81">
        <v>949</v>
      </c>
      <c r="D48" s="82">
        <f>IFERROR(VLOOKUP(C48&amp;"-I",Crias!$A$5:$G$6221,7,FALSE),E48)</f>
        <v>40062</v>
      </c>
      <c r="E48" s="82">
        <f>IFERROR(IF(C48="","",VLOOKUP(C48,Crias!$A$5:$G$6221,7,FALSE)),"Novilha")</f>
        <v>44152</v>
      </c>
      <c r="F48" s="83">
        <f t="shared" si="0"/>
        <v>145.86666666666667</v>
      </c>
      <c r="G48" s="99">
        <f>IF(F48="","",COUNTIF(Crias!$B$5:$B$6221,Matrizes!C48)+A48)</f>
        <v>10</v>
      </c>
      <c r="H48" s="80">
        <f t="shared" si="1"/>
        <v>14.586666666666668</v>
      </c>
      <c r="I48" s="22" t="s">
        <v>939</v>
      </c>
      <c r="K48" s="19"/>
      <c r="L48" s="4"/>
      <c r="M48" s="19"/>
    </row>
    <row r="49" spans="2:13" ht="18" hidden="1" customHeight="1" x14ac:dyDescent="0.45">
      <c r="B49" s="14"/>
      <c r="C49" s="81">
        <v>950</v>
      </c>
      <c r="D49" s="82">
        <f>IFERROR(VLOOKUP(C49&amp;"-I",Crias!$A$5:$G$6221,7,FALSE),E49)</f>
        <v>40055</v>
      </c>
      <c r="E49" s="82">
        <f>IFERROR(IF(C49="","",VLOOKUP(C49,Crias!$A$5:$G$6221,7,FALSE)),"Novilha")</f>
        <v>44478</v>
      </c>
      <c r="F49" s="83">
        <f t="shared" si="0"/>
        <v>156.96666666666667</v>
      </c>
      <c r="G49" s="99">
        <f>IF(F49="","",COUNTIF(Crias!$B$5:$B$6221,Matrizes!C49)+A49)</f>
        <v>11</v>
      </c>
      <c r="H49" s="80">
        <f t="shared" si="1"/>
        <v>14.26969696969697</v>
      </c>
      <c r="I49" s="22" t="s">
        <v>940</v>
      </c>
      <c r="K49" s="19"/>
      <c r="L49" s="4"/>
      <c r="M49" s="19"/>
    </row>
    <row r="50" spans="2:13" ht="18" hidden="1" customHeight="1" x14ac:dyDescent="0.45">
      <c r="B50" s="14"/>
      <c r="C50" s="81">
        <v>954</v>
      </c>
      <c r="D50" s="82">
        <f>IFERROR(VLOOKUP(C50&amp;"-I",Crias!$A$5:$G$6221,7,FALSE),E50)</f>
        <v>40127</v>
      </c>
      <c r="E50" s="82">
        <f>IFERROR(IF(C50="","",VLOOKUP(C50,Crias!$A$5:$G$6221,7,FALSE)),"Novilha")</f>
        <v>44399</v>
      </c>
      <c r="F50" s="83">
        <f t="shared" si="0"/>
        <v>151.93333333333334</v>
      </c>
      <c r="G50" s="99">
        <f>IF(F50="","",COUNTIF(Crias!$B$5:$B$6221,Matrizes!C50)+A50)</f>
        <v>12</v>
      </c>
      <c r="H50" s="80">
        <f t="shared" si="1"/>
        <v>12.661111111111111</v>
      </c>
      <c r="I50" s="22" t="s">
        <v>941</v>
      </c>
      <c r="K50" s="19"/>
      <c r="L50" s="4"/>
      <c r="M50" s="19"/>
    </row>
    <row r="51" spans="2:13" ht="18" hidden="1" customHeight="1" x14ac:dyDescent="0.45">
      <c r="B51" s="167"/>
      <c r="C51" s="81">
        <v>956</v>
      </c>
      <c r="D51" s="15">
        <f>IFERROR(VLOOKUP(C51&amp;"-I",Crias!$A$5:$G$6221,7,FALSE),E51)</f>
        <v>40477</v>
      </c>
      <c r="E51" s="15">
        <f>IFERROR(IF(C51="","",VLOOKUP(C51,Crias!$A$5:$G$6221,7,FALSE)),"Novilha")</f>
        <v>45889</v>
      </c>
      <c r="F51" s="16">
        <f t="shared" si="0"/>
        <v>189.93333333333334</v>
      </c>
      <c r="G51" s="17">
        <f>IF(F51="","",COUNTIF(Crias!$B$5:$B$6221,Matrizes!C51)+A51)</f>
        <v>12</v>
      </c>
      <c r="H51" s="18">
        <f t="shared" si="1"/>
        <v>15.827777777777778</v>
      </c>
      <c r="I51" s="22" t="s">
        <v>1196</v>
      </c>
      <c r="K51" s="19"/>
      <c r="L51" s="4"/>
      <c r="M51" s="19"/>
    </row>
    <row r="52" spans="2:13" ht="18" customHeight="1" x14ac:dyDescent="0.45">
      <c r="B52" s="167">
        <f>IF(C52="","",+LARGE($B$5:B51,1)+1)</f>
        <v>7</v>
      </c>
      <c r="C52" s="23">
        <v>957</v>
      </c>
      <c r="D52" s="15">
        <f>IFERROR(VLOOKUP(C52&amp;"-I",Crias!$A$5:$G$6221,7,FALSE),E52)</f>
        <v>40833</v>
      </c>
      <c r="E52" s="15">
        <f>IFERROR(IF(C52="","",VLOOKUP(C52,Crias!$A$5:$G$6221,7,FALSE)),"Novilha")</f>
        <v>45858</v>
      </c>
      <c r="F52" s="16">
        <f t="shared" si="0"/>
        <v>177.03333333333333</v>
      </c>
      <c r="G52" s="17">
        <f>IF(F52="","",COUNTIF(Crias!$B$5:$B$6221,Matrizes!C52)+A52)</f>
        <v>13</v>
      </c>
      <c r="H52" s="18">
        <f t="shared" si="1"/>
        <v>13.617948717948718</v>
      </c>
      <c r="I52" s="21"/>
      <c r="K52" s="19"/>
      <c r="L52" s="4"/>
      <c r="M52" s="19"/>
    </row>
    <row r="53" spans="2:13" ht="18" customHeight="1" x14ac:dyDescent="0.45">
      <c r="B53" s="167">
        <f>IF(C53="","",+LARGE($B$5:B52,1)+1)</f>
        <v>8</v>
      </c>
      <c r="C53" s="23">
        <v>958</v>
      </c>
      <c r="D53" s="15">
        <f>IFERROR(VLOOKUP(C53&amp;"-I",Crias!$A$5:$G$6221,7,FALSE),E53)</f>
        <v>40803</v>
      </c>
      <c r="E53" s="15">
        <f>IFERROR(IF(C53="","",VLOOKUP(C53,Crias!$A$5:$G$6221,7,FALSE)),"Novilha")</f>
        <v>45851</v>
      </c>
      <c r="F53" s="16">
        <f t="shared" si="0"/>
        <v>177.8</v>
      </c>
      <c r="G53" s="17">
        <f>IF(F53="","",COUNTIF(Crias!$B$5:$B$6221,Matrizes!C53)+A53)</f>
        <v>12</v>
      </c>
      <c r="H53" s="18">
        <f t="shared" si="1"/>
        <v>14.816666666666668</v>
      </c>
      <c r="I53" s="21"/>
      <c r="K53" s="19"/>
      <c r="L53" s="4"/>
      <c r="M53" s="19"/>
    </row>
    <row r="54" spans="2:13" ht="18" customHeight="1" x14ac:dyDescent="0.45">
      <c r="B54" s="167">
        <f>IF(C54="","",+LARGE($B$5:B53,1)+1)</f>
        <v>9</v>
      </c>
      <c r="C54" s="23">
        <v>959</v>
      </c>
      <c r="D54" s="15">
        <f>IFERROR(VLOOKUP(C54&amp;"-I",Crias!$A$5:$G$6221,7,FALSE),E54)</f>
        <v>40876</v>
      </c>
      <c r="E54" s="15">
        <f>IFERROR(IF(C54="","",VLOOKUP(C54,Crias!$A$5:$G$6221,7,FALSE)),"Novilha")</f>
        <v>45866</v>
      </c>
      <c r="F54" s="16">
        <f t="shared" si="0"/>
        <v>175.86666666666667</v>
      </c>
      <c r="G54" s="17">
        <f>IF(F54="","",COUNTIF(Crias!$B$5:$B$6221,Matrizes!C54)+A54)</f>
        <v>11</v>
      </c>
      <c r="H54" s="18">
        <f t="shared" si="1"/>
        <v>15.987878787878788</v>
      </c>
      <c r="I54" s="21"/>
      <c r="K54" s="19"/>
      <c r="L54" s="4"/>
      <c r="M54" s="19"/>
    </row>
    <row r="55" spans="2:13" ht="18" customHeight="1" x14ac:dyDescent="0.45">
      <c r="B55" s="167">
        <f>IF(C55="","",+LARGE($B$5:B54,1)+1)</f>
        <v>10</v>
      </c>
      <c r="C55" s="23">
        <v>961</v>
      </c>
      <c r="D55" s="15">
        <f>IFERROR(VLOOKUP(C55&amp;"-I",Crias!$A$5:$G$6221,7,FALSE),E55)</f>
        <v>41583</v>
      </c>
      <c r="E55" s="15">
        <f>IFERROR(IF(C55="","",VLOOKUP(C55,Crias!$A$5:$G$6221,7,FALSE)),"Novilha")</f>
        <v>45590</v>
      </c>
      <c r="F55" s="16">
        <f t="shared" si="0"/>
        <v>143.1</v>
      </c>
      <c r="G55" s="17">
        <f>IF(F55="","",COUNTIF(Crias!$B$5:$B$6221,Matrizes!C55)+A55)</f>
        <v>9</v>
      </c>
      <c r="H55" s="18">
        <f t="shared" si="1"/>
        <v>15.899999999999999</v>
      </c>
      <c r="I55" s="21"/>
      <c r="K55" s="19"/>
      <c r="L55" s="4"/>
      <c r="M55" s="19"/>
    </row>
    <row r="56" spans="2:13" ht="18" customHeight="1" x14ac:dyDescent="0.45">
      <c r="B56" s="167">
        <f>IF(C56="","",+LARGE($B$5:B55,1)+1)</f>
        <v>11</v>
      </c>
      <c r="C56" s="23">
        <v>963</v>
      </c>
      <c r="D56" s="15">
        <f>IFERROR(VLOOKUP(C56&amp;"-I",Crias!$A$5:$G$6221,7,FALSE),E56)</f>
        <v>40806</v>
      </c>
      <c r="E56" s="15">
        <f>IFERROR(IF(C56="","",VLOOKUP(C56,Crias!$A$5:$G$6221,7,FALSE)),"Novilha")</f>
        <v>45826</v>
      </c>
      <c r="F56" s="16">
        <f t="shared" si="0"/>
        <v>176.86666666666667</v>
      </c>
      <c r="G56" s="17">
        <f>IF(F56="","",COUNTIF(Crias!$B$5:$B$6221,Matrizes!C56)+A56)</f>
        <v>11</v>
      </c>
      <c r="H56" s="18">
        <f t="shared" si="1"/>
        <v>16.078787878787878</v>
      </c>
      <c r="I56" s="21"/>
      <c r="K56" s="19"/>
      <c r="L56" s="4"/>
      <c r="M56" s="19"/>
    </row>
    <row r="57" spans="2:13" ht="18" customHeight="1" x14ac:dyDescent="0.45">
      <c r="B57" s="167">
        <f>IF(C57="","",+LARGE($B$5:B56,1)+1)</f>
        <v>12</v>
      </c>
      <c r="C57" s="23">
        <v>964</v>
      </c>
      <c r="D57" s="15">
        <f>IFERROR(VLOOKUP(C57&amp;"-I",Crias!$A$5:$G$6221,7,FALSE),E57)</f>
        <v>40805</v>
      </c>
      <c r="E57" s="15">
        <f>IFERROR(IF(C57="","",VLOOKUP(C57,Crias!$A$5:$G$6221,7,FALSE)),"Novilha")</f>
        <v>45942</v>
      </c>
      <c r="F57" s="16">
        <f t="shared" si="0"/>
        <v>180.76666666666668</v>
      </c>
      <c r="G57" s="17">
        <f>IF(F57="","",COUNTIF(Crias!$B$5:$B$6221,Matrizes!C57)+A57)</f>
        <v>14</v>
      </c>
      <c r="H57" s="18">
        <f t="shared" si="1"/>
        <v>12.911904761904763</v>
      </c>
      <c r="I57" s="21"/>
      <c r="K57" s="19"/>
      <c r="L57" s="4"/>
      <c r="M57" s="19"/>
    </row>
    <row r="58" spans="2:13" ht="18" hidden="1" customHeight="1" x14ac:dyDescent="0.45">
      <c r="B58" s="14"/>
      <c r="C58" s="81">
        <v>965</v>
      </c>
      <c r="D58" s="82">
        <f>IFERROR(VLOOKUP(C58&amp;"-I",Crias!$A$5:$G$6221,7,FALSE),E58)</f>
        <v>40813</v>
      </c>
      <c r="E58" s="82">
        <f>IFERROR(IF(C58="","",VLOOKUP(C58,Crias!$A$5:$G$6221,7,FALSE)),"Novilha")</f>
        <v>43763</v>
      </c>
      <c r="F58" s="83">
        <f t="shared" si="0"/>
        <v>107.86666666666666</v>
      </c>
      <c r="G58" s="17">
        <f>IF(F58="","",COUNTIF(Crias!$B$5:$B$6221,Matrizes!C58)+A58)</f>
        <v>8</v>
      </c>
      <c r="H58" s="80">
        <f t="shared" si="1"/>
        <v>13.483333333333333</v>
      </c>
      <c r="I58" s="22" t="s">
        <v>896</v>
      </c>
      <c r="K58" s="19"/>
      <c r="L58" s="4"/>
      <c r="M58" s="19"/>
    </row>
    <row r="59" spans="2:13" ht="18" hidden="1" customHeight="1" x14ac:dyDescent="0.45">
      <c r="B59" s="14"/>
      <c r="C59" s="81">
        <v>966</v>
      </c>
      <c r="D59" s="15">
        <f>IFERROR(VLOOKUP(C59&amp;"-I",Crias!$A$5:$G$6221,7,FALSE),E59)</f>
        <v>41038</v>
      </c>
      <c r="E59" s="15">
        <f>IFERROR(IF(C59="","",VLOOKUP(C59,Crias!$A$5:$G$6221,7,FALSE)),"Novilha")</f>
        <v>44976</v>
      </c>
      <c r="F59" s="16">
        <f t="shared" si="0"/>
        <v>140.80000000000001</v>
      </c>
      <c r="G59" s="17">
        <f>IF(F59="","",COUNTIF(Crias!$B$5:$B$6221,Matrizes!C59)+A59)</f>
        <v>11</v>
      </c>
      <c r="H59" s="18">
        <f t="shared" si="1"/>
        <v>12.8</v>
      </c>
      <c r="I59" s="22" t="s">
        <v>1147</v>
      </c>
      <c r="K59" s="19"/>
      <c r="L59" s="4"/>
      <c r="M59" s="19"/>
    </row>
    <row r="60" spans="2:13" ht="18" customHeight="1" x14ac:dyDescent="0.45">
      <c r="B60" s="167">
        <f>IF(C60="","",+LARGE($B$5:B59,1)+1)</f>
        <v>13</v>
      </c>
      <c r="C60" s="23">
        <v>967</v>
      </c>
      <c r="D60" s="15">
        <f>IFERROR(VLOOKUP(C60&amp;"-I",Crias!$A$5:$G$6221,7,FALSE),E60)</f>
        <v>40770</v>
      </c>
      <c r="E60" s="15">
        <f>IFERROR(IF(C60="","",VLOOKUP(C60,Crias!$A$5:$G$6221,7,FALSE)),"Novilha")</f>
        <v>45595</v>
      </c>
      <c r="F60" s="16">
        <f t="shared" si="0"/>
        <v>170.36666666666667</v>
      </c>
      <c r="G60" s="17">
        <f>IF(F60="","",COUNTIF(Crias!$B$5:$B$6221,Matrizes!C60)+A60)</f>
        <v>12</v>
      </c>
      <c r="H60" s="18">
        <f t="shared" si="1"/>
        <v>14.197222222222223</v>
      </c>
      <c r="I60" s="21"/>
      <c r="K60" s="19"/>
      <c r="L60" s="4"/>
      <c r="M60" s="19"/>
    </row>
    <row r="61" spans="2:13" ht="18" hidden="1" customHeight="1" x14ac:dyDescent="0.45">
      <c r="B61" s="14"/>
      <c r="C61" s="81">
        <v>969</v>
      </c>
      <c r="D61" s="15">
        <f>IFERROR(VLOOKUP(C61&amp;"-I",Crias!$A$5:$G$6221,7,FALSE),E61)</f>
        <v>40806</v>
      </c>
      <c r="E61" s="15">
        <f>IFERROR(IF(C61="","",VLOOKUP(C61,Crias!$A$5:$G$6221,7,FALSE)),"Novilha")</f>
        <v>45435</v>
      </c>
      <c r="F61" s="16">
        <f t="shared" si="0"/>
        <v>163.83333333333334</v>
      </c>
      <c r="G61" s="17">
        <f>IF(F61="","",COUNTIF(Crias!$B$5:$B$6221,Matrizes!C61)+A61)</f>
        <v>12</v>
      </c>
      <c r="H61" s="18">
        <f t="shared" si="1"/>
        <v>13.652777777777779</v>
      </c>
      <c r="I61" s="160" t="s">
        <v>1142</v>
      </c>
      <c r="K61" s="19"/>
      <c r="L61" s="4"/>
      <c r="M61" s="19"/>
    </row>
    <row r="62" spans="2:13" ht="18" hidden="1" customHeight="1" x14ac:dyDescent="0.45">
      <c r="B62" s="14"/>
      <c r="C62" s="81">
        <v>972</v>
      </c>
      <c r="D62" s="82">
        <f>IFERROR(VLOOKUP(C62&amp;"-I",Crias!$A$5:$G$6221,7,FALSE),E62)</f>
        <v>40870</v>
      </c>
      <c r="E62" s="82">
        <f>IFERROR(IF(C62="","",VLOOKUP(C62,Crias!$A$5:$G$6221,7,FALSE)),"Novilha")</f>
        <v>44325</v>
      </c>
      <c r="F62" s="83">
        <f t="shared" si="0"/>
        <v>124.7</v>
      </c>
      <c r="G62" s="99">
        <f>IF(F62="","",COUNTIF(Crias!$B$5:$B$6221,Matrizes!C62)+A62)</f>
        <v>8</v>
      </c>
      <c r="H62" s="80">
        <f t="shared" si="1"/>
        <v>15.5875</v>
      </c>
      <c r="I62" s="22" t="s">
        <v>1176</v>
      </c>
      <c r="K62" s="19"/>
      <c r="L62" s="4"/>
      <c r="M62" s="19"/>
    </row>
    <row r="63" spans="2:13" ht="18" customHeight="1" x14ac:dyDescent="0.45">
      <c r="B63" s="167">
        <f>IF(C63="","",+LARGE($B$5:B62,1)+1)</f>
        <v>14</v>
      </c>
      <c r="C63" s="23">
        <v>973</v>
      </c>
      <c r="D63" s="15">
        <f>IFERROR(VLOOKUP(C63&amp;"-I",Crias!$A$5:$G$6221,7,FALSE),E63)</f>
        <v>40791</v>
      </c>
      <c r="E63" s="15">
        <f>IFERROR(IF(C63="","",VLOOKUP(C63,Crias!$A$5:$G$6221,7,FALSE)),"Novilha")</f>
        <v>45764</v>
      </c>
      <c r="F63" s="16">
        <f t="shared" si="0"/>
        <v>175.3</v>
      </c>
      <c r="G63" s="17">
        <f>IF(F63="","",COUNTIF(Crias!$B$5:$B$6221,Matrizes!C63)+A63)</f>
        <v>14</v>
      </c>
      <c r="H63" s="18">
        <f t="shared" si="1"/>
        <v>12.521428571428572</v>
      </c>
      <c r="I63" s="21" t="s">
        <v>878</v>
      </c>
      <c r="K63" s="19"/>
      <c r="L63" s="4"/>
      <c r="M63" s="19"/>
    </row>
    <row r="64" spans="2:13" ht="18" hidden="1" customHeight="1" x14ac:dyDescent="0.45">
      <c r="B64" s="167"/>
      <c r="C64" s="81">
        <v>974</v>
      </c>
      <c r="D64" s="15">
        <f>IFERROR(VLOOKUP(C64&amp;"-I",Crias!$A$5:$G$6221,7,FALSE),E64)</f>
        <v>40872</v>
      </c>
      <c r="E64" s="15">
        <f>IFERROR(IF(C64="","",VLOOKUP(C64,Crias!$A$5:$G$6221,7,FALSE)),"Novilha")</f>
        <v>45993</v>
      </c>
      <c r="F64" s="16">
        <f t="shared" si="0"/>
        <v>180.23333333333332</v>
      </c>
      <c r="G64" s="17">
        <f>IF(F64="","",COUNTIF(Crias!$B$5:$B$6221,Matrizes!C64)+A64)</f>
        <v>11</v>
      </c>
      <c r="H64" s="18">
        <f t="shared" ref="H64:H85" si="2">IFERROR(F64/G64,"")</f>
        <v>16.384848484848483</v>
      </c>
      <c r="I64" s="22" t="s">
        <v>1202</v>
      </c>
      <c r="K64" s="19"/>
      <c r="L64" s="4"/>
      <c r="M64" s="19"/>
    </row>
    <row r="65" spans="2:13" ht="18" customHeight="1" x14ac:dyDescent="0.45">
      <c r="B65" s="167">
        <f>IF(C65="","",+LARGE($B$5:B64,1)+1)</f>
        <v>15</v>
      </c>
      <c r="C65" s="23">
        <v>976</v>
      </c>
      <c r="D65" s="15">
        <f>IFERROR(VLOOKUP(C65&amp;"-I",Crias!$A$5:$G$6221,7,FALSE),E65)</f>
        <v>42323</v>
      </c>
      <c r="E65" s="15">
        <f>IFERROR(IF(C65="","",VLOOKUP(C65,Crias!$A$5:$G$6221,7,FALSE)),"Novilha")</f>
        <v>46083</v>
      </c>
      <c r="F65" s="16">
        <f t="shared" si="0"/>
        <v>134.86666666666667</v>
      </c>
      <c r="G65" s="17">
        <f>IF(F65="","",COUNTIF(Crias!$B$5:$B$6221,Matrizes!C65)+A65)</f>
        <v>9</v>
      </c>
      <c r="H65" s="18">
        <f t="shared" si="2"/>
        <v>14.985185185185186</v>
      </c>
      <c r="I65" s="21"/>
      <c r="K65" s="19"/>
      <c r="L65" s="4"/>
      <c r="M65" s="19"/>
    </row>
    <row r="66" spans="2:13" ht="18" hidden="1" customHeight="1" x14ac:dyDescent="0.45">
      <c r="B66" s="14"/>
      <c r="C66" s="81">
        <v>977</v>
      </c>
      <c r="D66" s="15">
        <f>IFERROR(VLOOKUP(C66&amp;"-I",Crias!$A$5:$G$6221,7,FALSE),E66)</f>
        <v>42029</v>
      </c>
      <c r="E66" s="15">
        <f>IFERROR(IF(C66="","",VLOOKUP(C66,Crias!$A$5:$G$6221,7,FALSE)),"Novilha")</f>
        <v>44887</v>
      </c>
      <c r="F66" s="16">
        <f t="shared" si="0"/>
        <v>104.8</v>
      </c>
      <c r="G66" s="17">
        <f>IF(F66="","",COUNTIF(Crias!$B$5:$B$6221,Matrizes!C66)+A66)</f>
        <v>8</v>
      </c>
      <c r="H66" s="18">
        <f t="shared" si="2"/>
        <v>13.1</v>
      </c>
      <c r="I66" s="22" t="s">
        <v>1147</v>
      </c>
      <c r="K66" s="19"/>
      <c r="L66" s="4"/>
      <c r="M66" s="19"/>
    </row>
    <row r="67" spans="2:13" ht="18" customHeight="1" x14ac:dyDescent="0.45">
      <c r="B67" s="167">
        <f>IF(C67="","",+LARGE($B$5:B66,1)+1)</f>
        <v>16</v>
      </c>
      <c r="C67" s="23">
        <v>978</v>
      </c>
      <c r="D67" s="15">
        <f>IFERROR(VLOOKUP(C67&amp;"-I",Crias!$A$5:$G$6221,7,FALSE),E67)</f>
        <v>42564</v>
      </c>
      <c r="E67" s="15">
        <f>IFERROR(IF(C67="","",VLOOKUP(C67,Crias!$A$5:$G$6221,7,FALSE)),"Novilha")</f>
        <v>45585</v>
      </c>
      <c r="F67" s="16">
        <f t="shared" si="0"/>
        <v>110.23333333333333</v>
      </c>
      <c r="G67" s="17">
        <f>IF(F67="","",COUNTIF(Crias!$B$5:$B$6221,Matrizes!C67)+A67)</f>
        <v>8</v>
      </c>
      <c r="H67" s="18">
        <f t="shared" si="2"/>
        <v>13.779166666666667</v>
      </c>
      <c r="I67" s="21"/>
      <c r="K67" s="19"/>
      <c r="L67" s="4"/>
      <c r="M67" s="19"/>
    </row>
    <row r="68" spans="2:13" ht="18" hidden="1" customHeight="1" x14ac:dyDescent="0.45">
      <c r="B68" s="14"/>
      <c r="C68" s="81">
        <v>979</v>
      </c>
      <c r="D68" s="82">
        <f>IFERROR(VLOOKUP(C68&amp;"-I",Crias!$A$5:$G$6221,7,FALSE),E68)</f>
        <v>42291</v>
      </c>
      <c r="E68" s="82">
        <f>IFERROR(IF(C68="","",VLOOKUP(C68,Crias!$A$5:$G$6221,7,FALSE)),"Novilha")</f>
        <v>43411</v>
      </c>
      <c r="F68" s="83">
        <f t="shared" si="0"/>
        <v>46.866666666666667</v>
      </c>
      <c r="G68" s="17">
        <f>IF(F68="","",COUNTIF(Crias!$B$5:$B$6221,Matrizes!C68)+A68)</f>
        <v>3</v>
      </c>
      <c r="H68" s="80">
        <f t="shared" si="2"/>
        <v>15.622222222222222</v>
      </c>
      <c r="I68" s="22" t="s">
        <v>1162</v>
      </c>
      <c r="K68" s="19"/>
      <c r="L68" s="4"/>
      <c r="M68" s="19"/>
    </row>
    <row r="69" spans="2:13" ht="18" customHeight="1" x14ac:dyDescent="0.45">
      <c r="B69" s="167">
        <f>IF(C69="","",+LARGE($B$5:B68,1)+1)</f>
        <v>17</v>
      </c>
      <c r="C69" s="23">
        <v>980</v>
      </c>
      <c r="D69" s="15">
        <f>IFERROR(VLOOKUP(C69&amp;"-I",Crias!$A$5:$G$6221,7,FALSE),E69)</f>
        <v>42047</v>
      </c>
      <c r="E69" s="15">
        <f>IFERROR(IF(C69="","",VLOOKUP(C69,Crias!$A$5:$G$6221,7,FALSE)),"Novilha")</f>
        <v>46097</v>
      </c>
      <c r="F69" s="16">
        <f t="shared" ref="F69:F84" si="3">IFERROR(IF(D69="","",((E69-D69+1)/30)+9.5),"S/R")</f>
        <v>144.53333333333333</v>
      </c>
      <c r="G69" s="17">
        <f>IF(F69="","",COUNTIF(Crias!$B$5:$B$6221,Matrizes!C69)+A69)</f>
        <v>11</v>
      </c>
      <c r="H69" s="18">
        <f t="shared" si="2"/>
        <v>13.139393939393939</v>
      </c>
      <c r="I69" s="21"/>
      <c r="K69" s="19"/>
      <c r="L69" s="4"/>
      <c r="M69" s="19"/>
    </row>
    <row r="70" spans="2:13" ht="18" customHeight="1" x14ac:dyDescent="0.5">
      <c r="B70" s="167">
        <f>IF(C70="","",+LARGE($B$5:B69,1)+1)</f>
        <v>18</v>
      </c>
      <c r="C70" s="23">
        <v>981</v>
      </c>
      <c r="D70" s="15">
        <f>IFERROR(VLOOKUP(C70&amp;"-I",Crias!$A$5:$G$6221,7,FALSE),E70)</f>
        <v>42240</v>
      </c>
      <c r="E70" s="15">
        <f>IFERROR(IF(C70="","",VLOOKUP(C70,Crias!$A$5:$G$6221,7,FALSE)),"Novilha")</f>
        <v>46105</v>
      </c>
      <c r="F70" s="16">
        <f t="shared" si="3"/>
        <v>138.36666666666667</v>
      </c>
      <c r="G70" s="17">
        <f>IF(F70="","",COUNTIF(Crias!$B$5:$B$6221,Matrizes!C70)+A70)</f>
        <v>9</v>
      </c>
      <c r="H70" s="18">
        <f t="shared" si="2"/>
        <v>15.374074074074075</v>
      </c>
      <c r="I70" s="84" t="s">
        <v>835</v>
      </c>
      <c r="K70" s="19"/>
      <c r="L70" s="4"/>
      <c r="M70" s="19"/>
    </row>
    <row r="71" spans="2:13" ht="18" hidden="1" customHeight="1" x14ac:dyDescent="0.5">
      <c r="B71" s="144"/>
      <c r="C71" s="81">
        <v>983</v>
      </c>
      <c r="D71" s="82">
        <f>IFERROR(VLOOKUP(C71&amp;"-I",Crias!$A$5:$G$6221,7,FALSE),E71)</f>
        <v>42273</v>
      </c>
      <c r="E71" s="82">
        <f>IFERROR(IF(C71="","",VLOOKUP(C71,Crias!$A$5:$G$6221,7,FALSE)),"Novilha")</f>
        <v>44695</v>
      </c>
      <c r="F71" s="83">
        <f t="shared" si="3"/>
        <v>90.266666666666666</v>
      </c>
      <c r="G71" s="99">
        <f>IF(F71="","",COUNTIF(Crias!$B$5:$B$6221,Matrizes!C71)+A71)</f>
        <v>6</v>
      </c>
      <c r="H71" s="80">
        <f t="shared" si="2"/>
        <v>15.044444444444444</v>
      </c>
      <c r="I71" s="84" t="s">
        <v>1091</v>
      </c>
      <c r="K71" s="19"/>
      <c r="L71" s="4"/>
      <c r="M71" s="19"/>
    </row>
    <row r="72" spans="2:13" ht="18" customHeight="1" x14ac:dyDescent="0.5">
      <c r="B72" s="167">
        <f>IF(C72="","",+LARGE($B$5:B71,1)+1)</f>
        <v>19</v>
      </c>
      <c r="C72" s="23">
        <v>984</v>
      </c>
      <c r="D72" s="15">
        <f>IFERROR(VLOOKUP(C72&amp;"-I",Crias!$A$5:$G$6221,7,FALSE),E72)</f>
        <v>41997</v>
      </c>
      <c r="E72" s="15">
        <f>IFERROR(IF(C72="","",VLOOKUP(C72,Crias!$A$5:$G$6221,7,FALSE)),"Novilha")</f>
        <v>45790</v>
      </c>
      <c r="F72" s="16">
        <f t="shared" si="3"/>
        <v>135.96666666666667</v>
      </c>
      <c r="G72" s="17">
        <f>IF(F72="","",COUNTIF(Crias!$B$5:$B$6221,Matrizes!C72)+A72)</f>
        <v>9</v>
      </c>
      <c r="H72" s="18">
        <v>22</v>
      </c>
      <c r="I72" s="84" t="s">
        <v>835</v>
      </c>
      <c r="K72" s="19"/>
      <c r="L72" s="4"/>
      <c r="M72" s="19"/>
    </row>
    <row r="73" spans="2:13" ht="18" hidden="1" customHeight="1" x14ac:dyDescent="0.45">
      <c r="B73" s="14"/>
      <c r="C73" s="81">
        <v>985</v>
      </c>
      <c r="D73" s="15">
        <f>IFERROR(VLOOKUP(C73&amp;"-I",Crias!$A$5:$G$6221,7,FALSE),E73)</f>
        <v>41965</v>
      </c>
      <c r="E73" s="15">
        <f>IFERROR(IF(C73="","",VLOOKUP(C73,Crias!$A$5:$G$6221,7,FALSE)),"Novilha")</f>
        <v>45796</v>
      </c>
      <c r="F73" s="16">
        <f t="shared" si="3"/>
        <v>137.23333333333335</v>
      </c>
      <c r="G73" s="17">
        <f>IF(F73="","",COUNTIF(Crias!$B$5:$B$6221,Matrizes!C73)+A73)</f>
        <v>9</v>
      </c>
      <c r="H73" s="18">
        <f t="shared" si="2"/>
        <v>15.24814814814815</v>
      </c>
      <c r="I73" s="22" t="s">
        <v>1150</v>
      </c>
      <c r="K73" s="19"/>
      <c r="L73" s="4"/>
      <c r="M73" s="19"/>
    </row>
    <row r="74" spans="2:13" ht="18" customHeight="1" x14ac:dyDescent="0.45">
      <c r="B74" s="167">
        <v>20</v>
      </c>
      <c r="C74" s="23">
        <v>987</v>
      </c>
      <c r="D74" s="15">
        <f>IFERROR(VLOOKUP(C74&amp;"-I",Crias!$A$5:$G$6221,7,FALSE),E74)</f>
        <v>42282</v>
      </c>
      <c r="E74" s="15">
        <f>IFERROR(IF(C74="","",VLOOKUP(C74,Crias!$A$5:$G$6221,7,FALSE)),"Novilha")</f>
        <v>45949</v>
      </c>
      <c r="F74" s="16">
        <f t="shared" si="3"/>
        <v>131.76666666666665</v>
      </c>
      <c r="G74" s="17">
        <f>IF(F74="","",COUNTIF(Crias!$B$5:$B$6221,Matrizes!C74)+A74)</f>
        <v>9</v>
      </c>
      <c r="H74" s="18">
        <f t="shared" si="2"/>
        <v>14.640740740740739</v>
      </c>
      <c r="I74" s="21" t="s">
        <v>1206</v>
      </c>
      <c r="K74" s="19"/>
      <c r="L74" s="4"/>
      <c r="M74" s="19"/>
    </row>
    <row r="75" spans="2:13" ht="18" customHeight="1" x14ac:dyDescent="0.5">
      <c r="B75" s="167">
        <f>IF(C75="","",+LARGE($B$5:B74,1)+1)</f>
        <v>21</v>
      </c>
      <c r="C75" s="23">
        <v>988</v>
      </c>
      <c r="D75" s="15">
        <f>IFERROR(VLOOKUP(C75&amp;"-I",Crias!$A$5:$G$6221,7,FALSE),E75)</f>
        <v>42021</v>
      </c>
      <c r="E75" s="15">
        <f>IFERROR(IF(C75="","",VLOOKUP(C75,Crias!$A$5:$G$6221,7,FALSE)),"Novilha")</f>
        <v>45764</v>
      </c>
      <c r="F75" s="16">
        <f t="shared" si="3"/>
        <v>134.30000000000001</v>
      </c>
      <c r="G75" s="17">
        <f>IF(F75="","",COUNTIF(Crias!$B$5:$B$6221,Matrizes!C75)+A75)</f>
        <v>9</v>
      </c>
      <c r="H75" s="18">
        <f t="shared" si="2"/>
        <v>14.922222222222224</v>
      </c>
      <c r="I75" s="84" t="s">
        <v>1207</v>
      </c>
      <c r="K75" s="19"/>
      <c r="L75" s="4"/>
      <c r="M75" s="19"/>
    </row>
    <row r="76" spans="2:13" ht="18" hidden="1" customHeight="1" x14ac:dyDescent="0.45">
      <c r="B76" s="14"/>
      <c r="C76" s="81">
        <v>989</v>
      </c>
      <c r="D76" s="82">
        <f>IFERROR(VLOOKUP(C76&amp;"-I",Crias!$A$5:$G$6221,7,FALSE),E76)</f>
        <v>42401</v>
      </c>
      <c r="E76" s="82">
        <f>IFERROR(IF(C76="","",VLOOKUP(C76,Crias!$A$5:$G$6221,7,FALSE)),"Novilha")</f>
        <v>43486</v>
      </c>
      <c r="F76" s="83">
        <f t="shared" si="3"/>
        <v>45.7</v>
      </c>
      <c r="G76" s="99">
        <f>IF(F76="","",COUNTIF(Crias!$B$5:$B$6221,Matrizes!C76)+A76)</f>
        <v>3</v>
      </c>
      <c r="H76" s="80">
        <f t="shared" si="2"/>
        <v>15.233333333333334</v>
      </c>
      <c r="I76" s="22" t="s">
        <v>924</v>
      </c>
      <c r="K76" s="19"/>
      <c r="L76" s="4"/>
      <c r="M76" s="19"/>
    </row>
    <row r="77" spans="2:13" ht="18" customHeight="1" x14ac:dyDescent="0.45">
      <c r="B77" s="167">
        <f>IF(C77="","",+LARGE($B$5:B76,1)+1)</f>
        <v>22</v>
      </c>
      <c r="C77" s="23">
        <v>990</v>
      </c>
      <c r="D77" s="15">
        <f>IFERROR(VLOOKUP(C77&amp;"-I",Crias!$A$5:$G$6221,7,FALSE),E77)</f>
        <v>42359</v>
      </c>
      <c r="E77" s="15">
        <f>IFERROR(IF(C77="","",VLOOKUP(C77,Crias!$A$5:$G$6221,7,FALSE)),"Novilha")</f>
        <v>45670</v>
      </c>
      <c r="F77" s="16">
        <f t="shared" si="3"/>
        <v>119.9</v>
      </c>
      <c r="G77" s="17">
        <f>IF(F77="","",COUNTIF(Crias!$B$5:$B$6221,Matrizes!C77)+A77)</f>
        <v>8</v>
      </c>
      <c r="H77" s="18">
        <f t="shared" si="2"/>
        <v>14.987500000000001</v>
      </c>
      <c r="I77" s="21"/>
      <c r="K77" s="19"/>
      <c r="L77" s="4"/>
      <c r="M77" s="19"/>
    </row>
    <row r="78" spans="2:13" ht="18" customHeight="1" x14ac:dyDescent="0.45">
      <c r="B78" s="167">
        <f>IF(C78="","",+LARGE($B$5:B77,1)+1)</f>
        <v>23</v>
      </c>
      <c r="C78" s="23">
        <v>992</v>
      </c>
      <c r="D78" s="15">
        <f>IFERROR(VLOOKUP(C78&amp;"-I",Crias!$A$5:$G$6221,7,FALSE),E78)</f>
        <v>42380</v>
      </c>
      <c r="E78" s="15">
        <f>IFERROR(IF(C78="","",VLOOKUP(C78,Crias!$A$5:$G$6221,7,FALSE)),"Novilha")</f>
        <v>45914</v>
      </c>
      <c r="F78" s="16">
        <f t="shared" si="3"/>
        <v>127.33333333333333</v>
      </c>
      <c r="G78" s="17">
        <f>IF(F78="","",COUNTIF(Crias!$B$5:$B$6221,Matrizes!C78)+A78)</f>
        <v>9</v>
      </c>
      <c r="H78" s="18">
        <f t="shared" si="2"/>
        <v>14.148148148148147</v>
      </c>
      <c r="I78" s="21"/>
      <c r="K78" s="19"/>
      <c r="L78" s="4"/>
      <c r="M78" s="19"/>
    </row>
    <row r="79" spans="2:13" ht="18" customHeight="1" x14ac:dyDescent="0.45">
      <c r="B79" s="167">
        <f>IF(C79="","",+LARGE($B$5:B78,1)+1)</f>
        <v>24</v>
      </c>
      <c r="C79" s="23">
        <v>993</v>
      </c>
      <c r="D79" s="15">
        <f>IFERROR(VLOOKUP(C79&amp;"-I",Crias!$A$5:$G$6221,7,FALSE),E79)</f>
        <v>42329</v>
      </c>
      <c r="E79" s="15">
        <f>IFERROR(IF(C79="","",VLOOKUP(C79,Crias!$A$5:$G$6221,7,FALSE)),"Novilha")</f>
        <v>45866</v>
      </c>
      <c r="F79" s="16">
        <f t="shared" si="3"/>
        <v>127.43333333333334</v>
      </c>
      <c r="G79" s="17">
        <f>IF(F79="","",COUNTIF(Crias!$B$5:$B$6221,Matrizes!C79)+A79)</f>
        <v>8</v>
      </c>
      <c r="H79" s="18">
        <f t="shared" si="2"/>
        <v>15.929166666666667</v>
      </c>
      <c r="I79" s="21"/>
      <c r="K79" s="19"/>
      <c r="L79" s="4"/>
      <c r="M79" s="19"/>
    </row>
    <row r="80" spans="2:13" ht="18" hidden="1" customHeight="1" x14ac:dyDescent="0.45">
      <c r="B80" s="14"/>
      <c r="C80" s="81">
        <v>1008</v>
      </c>
      <c r="D80" s="82">
        <f>IFERROR(VLOOKUP(C80&amp;"-I",Crias!$A$5:$G$6221,7,FALSE),E80)</f>
        <v>43811</v>
      </c>
      <c r="E80" s="82">
        <f>IFERROR(IF(C80="","",VLOOKUP(C80,Crias!$A$5:$G$6221,7,FALSE)),"Novilha")</f>
        <v>43811</v>
      </c>
      <c r="F80" s="16">
        <f t="shared" si="3"/>
        <v>9.5333333333333332</v>
      </c>
      <c r="G80" s="17">
        <f>IF(F80="","",COUNTIF(Crias!$B$5:$B$6221,Matrizes!C80)+A80)</f>
        <v>1</v>
      </c>
      <c r="H80" s="18">
        <f t="shared" si="2"/>
        <v>9.5333333333333332</v>
      </c>
      <c r="I80" s="22" t="s">
        <v>901</v>
      </c>
      <c r="K80" s="19"/>
    </row>
    <row r="81" spans="2:11" ht="18" customHeight="1" x14ac:dyDescent="0.45">
      <c r="B81" s="167">
        <f>IF(C81="","",+LARGE($B$5:B80,1)+1)</f>
        <v>25</v>
      </c>
      <c r="C81" s="23">
        <v>1009</v>
      </c>
      <c r="D81" s="15">
        <v>43784</v>
      </c>
      <c r="E81" s="15">
        <v>45923</v>
      </c>
      <c r="F81" s="16">
        <f t="shared" si="3"/>
        <v>80.833333333333329</v>
      </c>
      <c r="G81" s="17">
        <f>IF(F81="","",COUNTIF(Crias!$B$5:$B$6221,Matrizes!C81)+A81)</f>
        <v>6</v>
      </c>
      <c r="H81" s="18">
        <f t="shared" si="2"/>
        <v>13.472222222222221</v>
      </c>
      <c r="I81" s="21"/>
      <c r="K81" s="19"/>
    </row>
    <row r="82" spans="2:11" ht="18" customHeight="1" x14ac:dyDescent="0.45">
      <c r="B82" s="167">
        <f>IF(C82="","",+LARGE($B$5:B81,1)+1)</f>
        <v>26</v>
      </c>
      <c r="C82" s="23">
        <v>1010</v>
      </c>
      <c r="D82" s="15">
        <f>IFERROR(VLOOKUP(C82&amp;"-I",Crias!$A$5:$G$6221,7,FALSE),E82)</f>
        <v>43805</v>
      </c>
      <c r="E82" s="15">
        <f>IFERROR(IF(C82="","",VLOOKUP(C82,Crias!$A$5:$G$6221,7,FALSE)),"Novilha")</f>
        <v>45879</v>
      </c>
      <c r="F82" s="16">
        <f t="shared" si="3"/>
        <v>78.666666666666671</v>
      </c>
      <c r="G82" s="17">
        <f>IF(F82="","",COUNTIF(Crias!$B$5:$B$6221,Matrizes!C82)+A82)</f>
        <v>6</v>
      </c>
      <c r="H82" s="18">
        <f t="shared" si="2"/>
        <v>13.111111111111112</v>
      </c>
      <c r="I82" s="21"/>
      <c r="K82" s="19"/>
    </row>
    <row r="83" spans="2:11" ht="18" customHeight="1" x14ac:dyDescent="0.45">
      <c r="B83" s="167">
        <f>IF(C83="","",+LARGE($B$5:B82,1)+1)</f>
        <v>27</v>
      </c>
      <c r="C83" s="23">
        <v>1011</v>
      </c>
      <c r="D83" s="15">
        <f>IFERROR(VLOOKUP(C83&amp;"-I",Crias!$A$5:$G$6221,7,FALSE),E83)</f>
        <v>43821</v>
      </c>
      <c r="E83" s="15">
        <f>IFERROR(IF(C83="","",VLOOKUP(C83,Crias!$A$5:$G$6221,7,FALSE)),"Novilha")</f>
        <v>45947</v>
      </c>
      <c r="F83" s="16">
        <f t="shared" si="3"/>
        <v>80.400000000000006</v>
      </c>
      <c r="G83" s="17">
        <f>IF(F83="","",COUNTIF(Crias!$B$5:$B$6221,Matrizes!C83)+A83)</f>
        <v>6</v>
      </c>
      <c r="H83" s="18">
        <f t="shared" si="2"/>
        <v>13.4</v>
      </c>
      <c r="I83" s="21"/>
      <c r="J83" s="4"/>
      <c r="K83" s="19"/>
    </row>
    <row r="84" spans="2:11" ht="18" customHeight="1" x14ac:dyDescent="0.45">
      <c r="B84" s="167">
        <f>IF(C84="","",+LARGE($B$5:B83,1)+1)</f>
        <v>28</v>
      </c>
      <c r="C84" s="23">
        <v>1012</v>
      </c>
      <c r="D84" s="15">
        <f>IFERROR(VLOOKUP(C84&amp;"-I",Crias!$A$5:$G$6221,7,FALSE),E84)</f>
        <v>43872</v>
      </c>
      <c r="E84" s="15">
        <f>IFERROR(IF(C84="","",VLOOKUP(C84,Crias!$A$5:$G$6221,7,FALSE)),"Novilha")</f>
        <v>45839</v>
      </c>
      <c r="F84" s="16">
        <f t="shared" si="3"/>
        <v>75.099999999999994</v>
      </c>
      <c r="G84" s="17">
        <f>IF(F84="","",COUNTIF(Crias!$B$5:$B$6221,Matrizes!C84)+A84)</f>
        <v>5</v>
      </c>
      <c r="H84" s="18">
        <f t="shared" si="2"/>
        <v>15.02</v>
      </c>
      <c r="I84" s="21"/>
    </row>
    <row r="85" spans="2:11" ht="18" customHeight="1" x14ac:dyDescent="0.45">
      <c r="B85" s="167">
        <f>IF(C85="","",+LARGE($B$5:B84,1)+1)</f>
        <v>29</v>
      </c>
      <c r="C85" s="23">
        <v>1020</v>
      </c>
      <c r="D85" s="15">
        <f>IFERROR(VLOOKUP(C85&amp;"-I",Crias!$A$5:$G$6221,7,FALSE),E85)</f>
        <v>45216</v>
      </c>
      <c r="E85" s="15">
        <f>IFERROR(IF(C85="","",VLOOKUP(C85,Crias!$A$5:$G$6221,7,FALSE)),"Novilha")</f>
        <v>45840</v>
      </c>
      <c r="F85" s="16">
        <f>IFERROR(IF(D85="","",((E85-D85+1)/30)+9.5),"S/R")</f>
        <v>30.333333333333332</v>
      </c>
      <c r="G85" s="17">
        <f>IF(F85="","",COUNTIF(Crias!$B$5:$B$6221,Matrizes!C85)+A85)</f>
        <v>2</v>
      </c>
      <c r="H85" s="18">
        <f t="shared" si="2"/>
        <v>15.166666666666666</v>
      </c>
      <c r="I85" s="21"/>
    </row>
    <row r="86" spans="2:11" ht="18" hidden="1" customHeight="1" x14ac:dyDescent="0.45">
      <c r="B86" s="14"/>
      <c r="C86" s="81">
        <v>1021</v>
      </c>
      <c r="D86" s="82">
        <f>IFERROR(VLOOKUP(C86&amp;"-I",Crias!$A$5:$G$6221,7,FALSE),E86)</f>
        <v>44820</v>
      </c>
      <c r="E86" s="82">
        <f>IFERROR(IF(C86="","",VLOOKUP(C86,Crias!$A$5:$G$6221,7,FALSE)),"Novilha")</f>
        <v>44820</v>
      </c>
      <c r="F86" s="83">
        <f t="shared" ref="F86:F111" si="4">IFERROR(IF(D86="","",((E86-D86+1)/30)+9.5),"S/R")</f>
        <v>9.5333333333333332</v>
      </c>
      <c r="G86" s="99">
        <f>IF(F86="","",COUNTIF(Crias!$B$5:$B$6221,Matrizes!C86)+A86)</f>
        <v>1</v>
      </c>
      <c r="H86" s="80">
        <f t="shared" ref="H86:H135" si="5">IFERROR(F86/G86,"")</f>
        <v>9.5333333333333332</v>
      </c>
      <c r="I86" s="22" t="s">
        <v>1177</v>
      </c>
    </row>
    <row r="87" spans="2:11" ht="18" customHeight="1" x14ac:dyDescent="0.45">
      <c r="B87" s="167">
        <f>IF(C87="","",+LARGE($B$5:B86,1)+1)</f>
        <v>30</v>
      </c>
      <c r="C87" s="23">
        <v>1022</v>
      </c>
      <c r="D87" s="15">
        <f>IFERROR(VLOOKUP(C87&amp;"-I",Crias!$A$5:$G$6221,7,FALSE),E87)</f>
        <v>44849</v>
      </c>
      <c r="E87" s="15">
        <f>IFERROR(IF(C87="","",VLOOKUP(C87,Crias!$A$5:$G$6221,7,FALSE)),"Novilha")</f>
        <v>45953</v>
      </c>
      <c r="F87" s="16">
        <f t="shared" si="4"/>
        <v>46.333333333333336</v>
      </c>
      <c r="G87" s="17">
        <f>IF(F87="","",COUNTIF(Crias!$B$5:$B$6221,Matrizes!C87)+A87)</f>
        <v>3</v>
      </c>
      <c r="H87" s="18">
        <f t="shared" si="5"/>
        <v>15.444444444444445</v>
      </c>
      <c r="I87" s="21" t="s">
        <v>1203</v>
      </c>
    </row>
    <row r="88" spans="2:11" ht="18" customHeight="1" x14ac:dyDescent="0.45">
      <c r="B88" s="167">
        <f>IF(C88="","",+LARGE($B$5:B87,1)+1)</f>
        <v>31</v>
      </c>
      <c r="C88" s="23">
        <v>1023</v>
      </c>
      <c r="D88" s="15">
        <f>IFERROR(VLOOKUP(C88&amp;"-I",Crias!$A$5:$G$6221,7,FALSE),E88)</f>
        <v>44897</v>
      </c>
      <c r="E88" s="15">
        <f>IFERROR(IF(C88="","",VLOOKUP(C88,Crias!$A$5:$G$6221,7,FALSE)),"Novilha")</f>
        <v>45993</v>
      </c>
      <c r="F88" s="16">
        <f t="shared" si="4"/>
        <v>46.06666666666667</v>
      </c>
      <c r="G88" s="17">
        <f>IF(F88="","",COUNTIF(Crias!$B$5:$B$6221,Matrizes!C88)+A88)</f>
        <v>3</v>
      </c>
      <c r="H88" s="18">
        <f t="shared" si="5"/>
        <v>15.355555555555556</v>
      </c>
      <c r="I88" s="21"/>
    </row>
    <row r="89" spans="2:11" ht="18" customHeight="1" x14ac:dyDescent="0.45">
      <c r="B89" s="167">
        <f>IF(C89="","",+LARGE($B$5:B88,1)+1)</f>
        <v>32</v>
      </c>
      <c r="C89" s="23">
        <v>1024</v>
      </c>
      <c r="D89" s="15">
        <f>IFERROR(VLOOKUP(C89&amp;"-I",Crias!$A$5:$G$6221,7,FALSE),E89)</f>
        <v>44853</v>
      </c>
      <c r="E89" s="15">
        <f>IFERROR(IF(C89="","",VLOOKUP(C89,Crias!$A$5:$G$6221,7,FALSE)),"Novilha")</f>
        <v>45905</v>
      </c>
      <c r="F89" s="16">
        <f t="shared" si="4"/>
        <v>44.6</v>
      </c>
      <c r="G89" s="17">
        <f>IF(F89="","",COUNTIF(Crias!$B$5:$B$6221,Matrizes!C89)+A89)</f>
        <v>3</v>
      </c>
      <c r="H89" s="18">
        <f t="shared" si="5"/>
        <v>14.866666666666667</v>
      </c>
      <c r="I89" s="21"/>
    </row>
    <row r="90" spans="2:11" ht="18" customHeight="1" x14ac:dyDescent="0.45">
      <c r="B90" s="167">
        <f>IF(C90="","",+LARGE($B$5:B89,1)+1)</f>
        <v>33</v>
      </c>
      <c r="C90" s="23">
        <v>1025</v>
      </c>
      <c r="D90" s="15">
        <f>IFERROR(VLOOKUP(C90&amp;"-I",Crias!$A$5:$G$6221,7,FALSE),E90)</f>
        <v>44809</v>
      </c>
      <c r="E90" s="15">
        <f>IFERROR(IF(C90="","",VLOOKUP(C90,Crias!$A$5:$G$6221,7,FALSE)),"Novilha")</f>
        <v>45907</v>
      </c>
      <c r="F90" s="16">
        <f t="shared" si="4"/>
        <v>46.133333333333333</v>
      </c>
      <c r="G90" s="17">
        <f>IF(F90="","",COUNTIF(Crias!$B$5:$B$6221,Matrizes!C90)+A90)</f>
        <v>3</v>
      </c>
      <c r="H90" s="18">
        <f t="shared" si="5"/>
        <v>15.377777777777778</v>
      </c>
      <c r="I90" s="21"/>
    </row>
    <row r="91" spans="2:11" ht="18" customHeight="1" x14ac:dyDescent="0.45">
      <c r="B91" s="167">
        <f>IF(C91="","",+LARGE($B$5:B90,1)+1)</f>
        <v>34</v>
      </c>
      <c r="C91" s="23">
        <v>1026</v>
      </c>
      <c r="D91" s="15">
        <f>IFERROR(VLOOKUP(C91&amp;"-I",Crias!$A$5:$G$6221,7,FALSE),E91)</f>
        <v>44837</v>
      </c>
      <c r="E91" s="15">
        <v>46092</v>
      </c>
      <c r="F91" s="16">
        <f t="shared" si="4"/>
        <v>51.366666666666667</v>
      </c>
      <c r="G91" s="17">
        <f>IF(F91="","",COUNTIF(Crias!$B$5:$B$6221,Matrizes!C91)+A91)</f>
        <v>3</v>
      </c>
      <c r="H91" s="18">
        <f t="shared" si="5"/>
        <v>17.122222222222224</v>
      </c>
      <c r="I91" s="21"/>
    </row>
    <row r="92" spans="2:11" ht="18" customHeight="1" x14ac:dyDescent="0.45">
      <c r="B92" s="167">
        <f>IF(C92="","",+LARGE($B$5:B91,1)+1)</f>
        <v>35</v>
      </c>
      <c r="C92" s="23">
        <v>1027</v>
      </c>
      <c r="D92" s="15">
        <f>IFERROR(VLOOKUP(C92&amp;"-I",Crias!$A$5:$G$6221,7,FALSE),E92)</f>
        <v>44810</v>
      </c>
      <c r="E92" s="15">
        <f>IFERROR(IF(C92="","",VLOOKUP(C92,Crias!$A$5:$G$6221,7,FALSE)),"Novilha")</f>
        <v>45965</v>
      </c>
      <c r="F92" s="16">
        <f t="shared" si="4"/>
        <v>48.033333333333331</v>
      </c>
      <c r="G92" s="17">
        <f>IF(F92="","",COUNTIF(Crias!$B$5:$B$6221,Matrizes!C92)+A92)</f>
        <v>3</v>
      </c>
      <c r="H92" s="18">
        <f t="shared" si="5"/>
        <v>16.011111111111109</v>
      </c>
      <c r="I92" s="21"/>
    </row>
    <row r="93" spans="2:11" ht="18" customHeight="1" x14ac:dyDescent="0.45">
      <c r="B93" s="167">
        <f>IF(C93="","",+LARGE($B$5:B92,1)+1)</f>
        <v>36</v>
      </c>
      <c r="C93" s="23">
        <v>1028</v>
      </c>
      <c r="D93" s="15">
        <f>IFERROR(VLOOKUP(C93&amp;"-I",Crias!$A$5:$G$6221,7,FALSE),E93)</f>
        <v>44830</v>
      </c>
      <c r="E93" s="15">
        <f>IFERROR(IF(C93="","",VLOOKUP(C93,Crias!$A$5:$G$6221,7,FALSE)),"Novilha")</f>
        <v>45907</v>
      </c>
      <c r="F93" s="16">
        <f t="shared" si="4"/>
        <v>45.43333333333333</v>
      </c>
      <c r="G93" s="17">
        <f>IF(F93="","",COUNTIF(Crias!$B$5:$B$6221,Matrizes!C93)+A93)</f>
        <v>3</v>
      </c>
      <c r="H93" s="18">
        <f t="shared" si="5"/>
        <v>15.144444444444444</v>
      </c>
      <c r="I93" s="21"/>
    </row>
    <row r="94" spans="2:11" ht="18" customHeight="1" x14ac:dyDescent="0.45">
      <c r="B94" s="167">
        <f>IF(C94="","",+LARGE($B$5:B93,1)+1)</f>
        <v>37</v>
      </c>
      <c r="C94" s="23">
        <v>1029</v>
      </c>
      <c r="D94" s="15">
        <f>IFERROR(VLOOKUP(C94&amp;"-I",Crias!$A$5:$G$6221,7,FALSE),E94)</f>
        <v>44803</v>
      </c>
      <c r="E94" s="15">
        <f>IFERROR(IF(C94="","",VLOOKUP(C94,Crias!$A$5:$G$6221,7,FALSE)),"Novilha")</f>
        <v>45931</v>
      </c>
      <c r="F94" s="16">
        <f t="shared" si="4"/>
        <v>47.133333333333333</v>
      </c>
      <c r="G94" s="17">
        <f>IF(F94="","",COUNTIF(Crias!$B$5:$B$6221,Matrizes!C94)+A94)</f>
        <v>3</v>
      </c>
      <c r="H94" s="18">
        <f t="shared" si="5"/>
        <v>15.71111111111111</v>
      </c>
      <c r="I94" s="21"/>
    </row>
    <row r="95" spans="2:11" ht="18" customHeight="1" x14ac:dyDescent="0.45">
      <c r="B95" s="167">
        <f>IF(C95="","",+LARGE($B$5:B94,1)+1)</f>
        <v>38</v>
      </c>
      <c r="C95" s="23">
        <v>1030</v>
      </c>
      <c r="D95" s="15">
        <f>IFERROR(VLOOKUP(C95&amp;"-I",Crias!$A$5:$G$6221,7,FALSE),E95)</f>
        <v>44790</v>
      </c>
      <c r="E95" s="15">
        <f>IFERROR(IF(C95="","",VLOOKUP(C95,Crias!$A$5:$G$6221,7,FALSE)),"Novilha")</f>
        <v>45870</v>
      </c>
      <c r="F95" s="16">
        <f t="shared" si="4"/>
        <v>45.533333333333331</v>
      </c>
      <c r="G95" s="17">
        <f>IF(F95="","",COUNTIF(Crias!$B$5:$B$6221,Matrizes!C95)+A95)</f>
        <v>3</v>
      </c>
      <c r="H95" s="18">
        <f t="shared" si="5"/>
        <v>15.177777777777777</v>
      </c>
      <c r="I95" s="21"/>
    </row>
    <row r="96" spans="2:11" ht="18" customHeight="1" x14ac:dyDescent="0.45">
      <c r="B96" s="167">
        <f>IF(C96="","",+LARGE($B$5:B95,1)+1)</f>
        <v>39</v>
      </c>
      <c r="C96" s="23">
        <v>1031</v>
      </c>
      <c r="D96" s="15">
        <f>IFERROR(VLOOKUP(C96&amp;"-I",Crias!$A$5:$G$6221,7,FALSE),E96)</f>
        <v>44648</v>
      </c>
      <c r="E96" s="15">
        <f>IFERROR(IF(C96="","",VLOOKUP(C96,Crias!$A$5:$G$6221,7,FALSE)),"Novilha")</f>
        <v>45755</v>
      </c>
      <c r="F96" s="16">
        <f t="shared" si="4"/>
        <v>46.43333333333333</v>
      </c>
      <c r="G96" s="17">
        <f>IF(F96="","",COUNTIF(Crias!$B$5:$B$6221,Matrizes!C96)+A96)</f>
        <v>3</v>
      </c>
      <c r="H96" s="18">
        <f t="shared" si="5"/>
        <v>15.477777777777776</v>
      </c>
      <c r="I96" s="21"/>
    </row>
    <row r="97" spans="2:9" ht="18" customHeight="1" x14ac:dyDescent="0.45">
      <c r="B97" s="167">
        <f>IF(C97="","",+LARGE($B$5:B96,1)+1)</f>
        <v>40</v>
      </c>
      <c r="C97" s="23">
        <v>1032</v>
      </c>
      <c r="D97" s="15">
        <f>IFERROR(VLOOKUP(C97&amp;"-I",Crias!$A$5:$G$6221,7,FALSE),E97)</f>
        <v>45154</v>
      </c>
      <c r="E97" s="15">
        <f>IFERROR(IF(C97="","",VLOOKUP(C97,Crias!$A$5:$G$6221,7,FALSE)),"Novilha")</f>
        <v>45667</v>
      </c>
      <c r="F97" s="16">
        <f t="shared" si="4"/>
        <v>26.633333333333333</v>
      </c>
      <c r="G97" s="17">
        <f>IF(F97="","",COUNTIF(Crias!$B$5:$B$6221,Matrizes!C97)+A97)</f>
        <v>2</v>
      </c>
      <c r="H97" s="18">
        <f t="shared" si="5"/>
        <v>13.316666666666666</v>
      </c>
      <c r="I97" s="21"/>
    </row>
    <row r="98" spans="2:9" ht="18" customHeight="1" x14ac:dyDescent="0.45">
      <c r="B98" s="167">
        <f>IF(C98="","",+LARGE($B$5:B97,1)+1)</f>
        <v>41</v>
      </c>
      <c r="C98" s="23">
        <v>1033</v>
      </c>
      <c r="D98" s="15">
        <f>IFERROR(VLOOKUP(C98&amp;"-I",Crias!$A$5:$G$6221,7,FALSE),E98)</f>
        <v>44851</v>
      </c>
      <c r="E98" s="15">
        <f>IFERROR(IF(C98="","",VLOOKUP(C98,Crias!$A$5:$G$6221,7,FALSE)),"Novilha")</f>
        <v>45751</v>
      </c>
      <c r="F98" s="16">
        <v>38.799999999999997</v>
      </c>
      <c r="G98" s="17">
        <f>IF(F98="","",COUNTIF(Crias!$B$5:$B$6221,Matrizes!C98)+A98)</f>
        <v>3</v>
      </c>
      <c r="H98" s="18">
        <f t="shared" si="5"/>
        <v>12.933333333333332</v>
      </c>
      <c r="I98" s="21"/>
    </row>
    <row r="99" spans="2:9" ht="18" hidden="1" customHeight="1" x14ac:dyDescent="0.45">
      <c r="B99" s="144"/>
      <c r="C99" s="81">
        <v>1034</v>
      </c>
      <c r="D99" s="82" t="str">
        <f>IFERROR(VLOOKUP(C99&amp;"-I",Crias!$A$5:$G$6221,7,FALSE),E99)</f>
        <v>Novilha</v>
      </c>
      <c r="E99" s="82" t="str">
        <f>IFERROR(IF(C99="","",VLOOKUP(C99,Crias!$A$5:$G$6221,7,FALSE)),"Novilha")</f>
        <v>Novilha</v>
      </c>
      <c r="F99" s="83" t="str">
        <f t="shared" si="4"/>
        <v>S/R</v>
      </c>
      <c r="G99" s="99">
        <f>IF(F99="","",COUNTIF(Crias!$B$5:$B$6221,Matrizes!C99)+A99)</f>
        <v>0</v>
      </c>
      <c r="H99" s="80" t="str">
        <f t="shared" si="5"/>
        <v/>
      </c>
      <c r="I99" s="22" t="s">
        <v>1092</v>
      </c>
    </row>
    <row r="100" spans="2:9" ht="18" customHeight="1" x14ac:dyDescent="0.45">
      <c r="B100" s="167">
        <f>IF(C100="","",+LARGE($B$5:B99,1)+1)</f>
        <v>42</v>
      </c>
      <c r="C100" s="23">
        <v>1035</v>
      </c>
      <c r="D100" s="15">
        <f>IFERROR(VLOOKUP(C100&amp;"-I",Crias!$A$5:$G$6221,7,FALSE),E100)</f>
        <v>44905</v>
      </c>
      <c r="E100" s="15">
        <f>IFERROR(IF(C100="","",VLOOKUP(C100,Crias!$A$5:$G$6221,7,FALSE)),"Novilha")</f>
        <v>45947</v>
      </c>
      <c r="F100" s="16">
        <f t="shared" si="4"/>
        <v>44.266666666666666</v>
      </c>
      <c r="G100" s="17">
        <f>IF(F100="","",COUNTIF(Crias!$B$5:$B$6221,Matrizes!C100)+A100)</f>
        <v>3</v>
      </c>
      <c r="H100" s="18">
        <f t="shared" si="5"/>
        <v>14.755555555555555</v>
      </c>
      <c r="I100" s="21"/>
    </row>
    <row r="101" spans="2:9" ht="18" customHeight="1" x14ac:dyDescent="0.45">
      <c r="B101" s="167">
        <f>IF(C101="","",+LARGE($B$5:B100,1)+1)</f>
        <v>43</v>
      </c>
      <c r="C101" s="23">
        <v>1036</v>
      </c>
      <c r="D101" s="15">
        <f>IFERROR(VLOOKUP(C101&amp;"-I",Crias!$A$5:$G$6221,7,FALSE),E101)</f>
        <v>44885</v>
      </c>
      <c r="E101" s="15">
        <f>IFERROR(IF(C101="","",VLOOKUP(C101,Crias!$A$5:$G$6221,7,FALSE)),"Novilha")</f>
        <v>45948</v>
      </c>
      <c r="F101" s="16">
        <f t="shared" si="4"/>
        <v>44.966666666666669</v>
      </c>
      <c r="G101" s="17">
        <f>IF(F101="","",COUNTIF(Crias!$B$5:$B$6221,Matrizes!C101)+A101)</f>
        <v>3</v>
      </c>
      <c r="H101" s="18">
        <f t="shared" si="5"/>
        <v>14.988888888888889</v>
      </c>
      <c r="I101" s="21"/>
    </row>
    <row r="102" spans="2:9" ht="18" customHeight="1" x14ac:dyDescent="0.45">
      <c r="B102" s="167">
        <f>IF(C102="","",+LARGE($B$5:B101,1)+1)</f>
        <v>44</v>
      </c>
      <c r="C102" s="23">
        <f>+C101+1</f>
        <v>1037</v>
      </c>
      <c r="D102" s="15">
        <f>IFERROR(VLOOKUP(C102&amp;"-I",Crias!$A$5:$G$6221,7,FALSE),E102)</f>
        <v>44845</v>
      </c>
      <c r="E102" s="15">
        <f>IFERROR(IF(C102="","",VLOOKUP(C102,Crias!$A$5:$G$6221,7,FALSE)),"Novilha")</f>
        <v>45915</v>
      </c>
      <c r="F102" s="16">
        <f t="shared" si="4"/>
        <v>45.2</v>
      </c>
      <c r="G102" s="17">
        <f>IF(F102="","",COUNTIF(Crias!$B$5:$B$6221,Matrizes!C102)+A102)</f>
        <v>4</v>
      </c>
      <c r="H102" s="18">
        <f t="shared" si="5"/>
        <v>11.3</v>
      </c>
      <c r="I102" s="21"/>
    </row>
    <row r="103" spans="2:9" ht="18" customHeight="1" x14ac:dyDescent="0.45">
      <c r="B103" s="167">
        <f>IF(C103="","",+LARGE($B$5:B102,1)+1)</f>
        <v>45</v>
      </c>
      <c r="C103" s="23">
        <f t="shared" ref="C103:C131" si="6">+C102+1</f>
        <v>1038</v>
      </c>
      <c r="D103" s="15">
        <f>IFERROR(VLOOKUP(C103&amp;"-I",Crias!$A$5:$G$6221,7,FALSE),E103)</f>
        <v>44886</v>
      </c>
      <c r="E103" s="15">
        <f>IFERROR(IF(C103="","",VLOOKUP(C103,Crias!$A$5:$G$6221,7,FALSE)),"Novilha")</f>
        <v>45943</v>
      </c>
      <c r="F103" s="16">
        <f t="shared" si="4"/>
        <v>44.766666666666666</v>
      </c>
      <c r="G103" s="17">
        <f>IF(F103="","",COUNTIF(Crias!$B$5:$B$6221,Matrizes!C103)+A103)</f>
        <v>4</v>
      </c>
      <c r="H103" s="18">
        <f t="shared" si="5"/>
        <v>11.191666666666666</v>
      </c>
      <c r="I103" s="21"/>
    </row>
    <row r="104" spans="2:9" ht="18" customHeight="1" x14ac:dyDescent="0.45">
      <c r="B104" s="167">
        <f>IF(C104="","",+LARGE($B$5:B103,1)+1)</f>
        <v>46</v>
      </c>
      <c r="C104" s="23">
        <f t="shared" si="6"/>
        <v>1039</v>
      </c>
      <c r="D104" s="15">
        <f>IFERROR(VLOOKUP(C104&amp;"-I",Crias!$A$5:$G$6221,7,FALSE),E104)</f>
        <v>44841</v>
      </c>
      <c r="E104" s="15">
        <f>IFERROR(IF(C104="","",VLOOKUP(C104,Crias!$A$5:$G$6221,7,FALSE)),"Novilha")</f>
        <v>45929</v>
      </c>
      <c r="F104" s="16">
        <f t="shared" si="4"/>
        <v>45.8</v>
      </c>
      <c r="G104" s="17">
        <f>IF(F104="","",COUNTIF(Crias!$B$5:$B$6221,Matrizes!C104)+A104)</f>
        <v>3</v>
      </c>
      <c r="H104" s="18">
        <f t="shared" si="5"/>
        <v>15.266666666666666</v>
      </c>
      <c r="I104" s="21"/>
    </row>
    <row r="105" spans="2:9" ht="18" customHeight="1" x14ac:dyDescent="0.45">
      <c r="B105" s="167">
        <f>IF(C105="","",+LARGE($B$5:B104,1)+1)</f>
        <v>47</v>
      </c>
      <c r="C105" s="23">
        <f t="shared" si="6"/>
        <v>1040</v>
      </c>
      <c r="D105" s="15">
        <f>IFERROR(VLOOKUP(C105&amp;"-I",Crias!$A$5:$G$6221,7,FALSE),E105)</f>
        <v>44887</v>
      </c>
      <c r="E105" s="15">
        <f>IFERROR(IF(C105="","",VLOOKUP(C105,Crias!$A$5:$G$6221,7,FALSE)),"Novilha")</f>
        <v>45927</v>
      </c>
      <c r="F105" s="16">
        <f t="shared" si="4"/>
        <v>44.2</v>
      </c>
      <c r="G105" s="17">
        <f>IF(F105="","",COUNTIF(Crias!$B$5:$B$6221,Matrizes!C105)+A105)</f>
        <v>3</v>
      </c>
      <c r="H105" s="18">
        <f t="shared" si="5"/>
        <v>14.733333333333334</v>
      </c>
      <c r="I105" s="21"/>
    </row>
    <row r="106" spans="2:9" ht="18" hidden="1" customHeight="1" x14ac:dyDescent="0.45">
      <c r="B106" s="144"/>
      <c r="C106" s="81">
        <f t="shared" si="6"/>
        <v>1041</v>
      </c>
      <c r="D106" s="82">
        <f>IFERROR(VLOOKUP(C106&amp;"-I",Crias!$A$5:$G$6221,7,FALSE),E106)</f>
        <v>45113</v>
      </c>
      <c r="E106" s="82">
        <f>IFERROR(IF(C106="","",VLOOKUP(C106,Crias!$A$5:$G$6221,7,FALSE)),"Novilha")</f>
        <v>45113</v>
      </c>
      <c r="F106" s="83">
        <f t="shared" si="4"/>
        <v>9.5333333333333332</v>
      </c>
      <c r="G106" s="99">
        <v>1</v>
      </c>
      <c r="H106" s="80">
        <f t="shared" si="5"/>
        <v>9.5333333333333332</v>
      </c>
      <c r="I106" s="22" t="s">
        <v>1083</v>
      </c>
    </row>
    <row r="107" spans="2:9" ht="18" hidden="1" customHeight="1" x14ac:dyDescent="0.45">
      <c r="B107" s="167"/>
      <c r="C107" s="81">
        <f>+C106+1</f>
        <v>1042</v>
      </c>
      <c r="D107" s="15">
        <f>IFERROR(VLOOKUP(C107&amp;"-I",Crias!$A$5:$G$6221,7,FALSE),E107)</f>
        <v>44866</v>
      </c>
      <c r="E107" s="15">
        <f>IFERROR(IF(C107="","",VLOOKUP(C107,Crias!$A$5:$G$6221,7,FALSE)),"Novilha")</f>
        <v>45789</v>
      </c>
      <c r="F107" s="16">
        <f t="shared" si="4"/>
        <v>40.299999999999997</v>
      </c>
      <c r="G107" s="17">
        <f>IF(F107="","",COUNTIF(Crias!$B$5:$B$6221,Matrizes!C107)+A107)</f>
        <v>3</v>
      </c>
      <c r="H107" s="18">
        <f t="shared" si="5"/>
        <v>13.433333333333332</v>
      </c>
      <c r="I107" s="22" t="s">
        <v>1196</v>
      </c>
    </row>
    <row r="108" spans="2:9" ht="18" customHeight="1" x14ac:dyDescent="0.45">
      <c r="B108" s="167">
        <f>IF(C108="","",+LARGE($B$5:B107,1)+1)</f>
        <v>48</v>
      </c>
      <c r="C108" s="23">
        <f t="shared" si="6"/>
        <v>1043</v>
      </c>
      <c r="D108" s="15">
        <f>IFERROR(VLOOKUP(C108&amp;"-I",Crias!$A$5:$G$6221,7,FALSE),E108)</f>
        <v>44612</v>
      </c>
      <c r="E108" s="15">
        <f>IFERROR(IF(C108="","",VLOOKUP(C108,Crias!$A$5:$G$6221,7,FALSE)),"Novilha")</f>
        <v>45910</v>
      </c>
      <c r="F108" s="16">
        <f t="shared" si="4"/>
        <v>52.8</v>
      </c>
      <c r="G108" s="17">
        <f>IF(F108="","",COUNTIF(Crias!$B$5:$B$6221,Matrizes!C108)+A108)</f>
        <v>4</v>
      </c>
      <c r="H108" s="18">
        <f t="shared" si="5"/>
        <v>13.2</v>
      </c>
      <c r="I108" s="21"/>
    </row>
    <row r="109" spans="2:9" ht="18" customHeight="1" x14ac:dyDescent="0.45">
      <c r="B109" s="167">
        <f>IF(C109="","",+LARGE($B$5:B108,1)+1)</f>
        <v>49</v>
      </c>
      <c r="C109" s="23">
        <f t="shared" si="6"/>
        <v>1044</v>
      </c>
      <c r="D109" s="15">
        <f>IFERROR(VLOOKUP(C109&amp;"-I",Crias!$A$5:$G$6221,7,FALSE),E109)</f>
        <v>44602</v>
      </c>
      <c r="E109" s="15">
        <f>IFERROR(IF(C109="","",VLOOKUP(C109,Crias!$A$5:$G$6221,7,FALSE)),"Novilha")</f>
        <v>45953</v>
      </c>
      <c r="F109" s="16">
        <f t="shared" si="4"/>
        <v>54.56666666666667</v>
      </c>
      <c r="G109" s="17">
        <f>IF(F109="","",COUNTIF(Crias!$B$5:$B$6221,Matrizes!C109)+A109)</f>
        <v>4</v>
      </c>
      <c r="H109" s="18">
        <f t="shared" si="5"/>
        <v>13.641666666666667</v>
      </c>
      <c r="I109" s="21"/>
    </row>
    <row r="110" spans="2:9" ht="18" customHeight="1" x14ac:dyDescent="0.45">
      <c r="B110" s="167">
        <f>IF(C110="","",+LARGE($B$5:B109,1)+1)</f>
        <v>50</v>
      </c>
      <c r="C110" s="23">
        <f t="shared" si="6"/>
        <v>1045</v>
      </c>
      <c r="D110" s="15">
        <f>IFERROR(VLOOKUP(C110&amp;"-I",Crias!$A$5:$G$6221,7,FALSE),E110)</f>
        <v>44926</v>
      </c>
      <c r="E110" s="15">
        <f>IFERROR(IF(C110="","",VLOOKUP(C110,Crias!$A$5:$G$6221,7,FALSE)),"Novilha")</f>
        <v>45711</v>
      </c>
      <c r="F110" s="16">
        <f t="shared" si="4"/>
        <v>35.700000000000003</v>
      </c>
      <c r="G110" s="17">
        <f>IF(F110="","",COUNTIF(Crias!$B$5:$B$6221,Matrizes!C110)+A110)</f>
        <v>2</v>
      </c>
      <c r="H110" s="18">
        <f t="shared" si="5"/>
        <v>17.850000000000001</v>
      </c>
      <c r="I110" s="21"/>
    </row>
    <row r="111" spans="2:9" ht="18" customHeight="1" x14ac:dyDescent="0.45">
      <c r="B111" s="167">
        <f>IF(C111="","",+LARGE($B$5:B110,1)+1)</f>
        <v>51</v>
      </c>
      <c r="C111" s="23">
        <f t="shared" si="6"/>
        <v>1046</v>
      </c>
      <c r="D111" s="15">
        <f>IFERROR(VLOOKUP(C111&amp;"-I",Crias!$A$5:$G$6221,7,FALSE),E111)</f>
        <v>45150</v>
      </c>
      <c r="E111" s="15">
        <f>IFERROR(IF(C111="","",VLOOKUP(C111,Crias!$A$5:$G$6221,7,FALSE)),"Novilha")</f>
        <v>46105</v>
      </c>
      <c r="F111" s="16">
        <f t="shared" si="4"/>
        <v>41.366666666666667</v>
      </c>
      <c r="G111" s="17">
        <f>IF(F111="","",COUNTIF(Crias!$B$5:$B$6221,Matrizes!C111)+A111)</f>
        <v>3</v>
      </c>
      <c r="H111" s="18">
        <f t="shared" si="5"/>
        <v>13.78888888888889</v>
      </c>
      <c r="I111" s="21"/>
    </row>
    <row r="112" spans="2:9" ht="18" customHeight="1" x14ac:dyDescent="0.45">
      <c r="B112" s="167">
        <f>IF(C112="","",+LARGE($B$5:B111,1)+1)</f>
        <v>52</v>
      </c>
      <c r="C112" s="23">
        <f t="shared" si="6"/>
        <v>1047</v>
      </c>
      <c r="D112" s="15">
        <f>IFERROR(VLOOKUP(C112&amp;"-I",Crias!$A$5:$G$6221,7,FALSE),E112)</f>
        <v>45597</v>
      </c>
      <c r="E112" s="15">
        <f>IFERROR(IF(C112="","",VLOOKUP(C112,Crias!$A$5:$G$6221,7,FALSE)),"Novilha")</f>
        <v>46108</v>
      </c>
      <c r="F112" s="16">
        <f t="shared" ref="F112:F135" si="7">IFERROR(IF(D112="","",((E112-D112+1)/30)+9.5),"N/A")</f>
        <v>26.566666666666666</v>
      </c>
      <c r="G112" s="17">
        <f>IF(F112="","",COUNTIF(Crias!$B$5:$B$6221,Matrizes!C112)+A112)</f>
        <v>2</v>
      </c>
      <c r="H112" s="18">
        <f t="shared" si="5"/>
        <v>13.283333333333333</v>
      </c>
      <c r="I112" s="22" t="s">
        <v>1201</v>
      </c>
    </row>
    <row r="113" spans="2:9" ht="18" customHeight="1" x14ac:dyDescent="0.45">
      <c r="B113" s="167">
        <f>IF(C113="","",+LARGE($B$5:B112,1)+1)</f>
        <v>53</v>
      </c>
      <c r="C113" s="23">
        <f t="shared" si="6"/>
        <v>1048</v>
      </c>
      <c r="D113" s="15">
        <f>IFERROR(VLOOKUP(C113&amp;"-I",Crias!$A$5:$G$6221,7,FALSE),E113)</f>
        <v>45797</v>
      </c>
      <c r="E113" s="15">
        <f>IFERROR(IF(C113="","",VLOOKUP(C113,Crias!$A$5:$G$6221,7,FALSE)),"Novilha")</f>
        <v>45797</v>
      </c>
      <c r="F113" s="16">
        <f t="shared" si="7"/>
        <v>9.5333333333333332</v>
      </c>
      <c r="G113" s="17">
        <f>IF(F113="","",COUNTIF(Crias!$B$5:$B$6221,Matrizes!C113)+A113)</f>
        <v>1</v>
      </c>
      <c r="H113" s="18">
        <f t="shared" si="5"/>
        <v>9.5333333333333332</v>
      </c>
      <c r="I113" s="21"/>
    </row>
    <row r="114" spans="2:9" ht="18" customHeight="1" x14ac:dyDescent="0.45">
      <c r="B114" s="167">
        <f>IF(C114="","",+LARGE($B$5:B113,1)+1)</f>
        <v>54</v>
      </c>
      <c r="C114" s="23">
        <f>+C113+1</f>
        <v>1049</v>
      </c>
      <c r="D114" s="15">
        <f>IFERROR(VLOOKUP(C114&amp;"-I",Crias!$A$5:$G$6221,7,FALSE),E114)</f>
        <v>45979</v>
      </c>
      <c r="E114" s="15">
        <f>IFERROR(IF(C114="","",VLOOKUP(C114,Crias!$A$5:$G$6221,7,FALSE)),"Novilha")</f>
        <v>45979</v>
      </c>
      <c r="F114" s="16">
        <f t="shared" si="7"/>
        <v>9.5333333333333332</v>
      </c>
      <c r="G114" s="17">
        <f>IF(F114="","",COUNTIF(Crias!$B$5:$B$6221,Matrizes!C114)+A114)</f>
        <v>1</v>
      </c>
      <c r="H114" s="18">
        <f t="shared" si="5"/>
        <v>9.5333333333333332</v>
      </c>
      <c r="I114" s="21"/>
    </row>
    <row r="115" spans="2:9" ht="18" customHeight="1" x14ac:dyDescent="0.45">
      <c r="B115" s="167">
        <f>IF(C115="","",+LARGE($B$5:B114,1)+1)</f>
        <v>55</v>
      </c>
      <c r="C115" s="23">
        <f t="shared" si="6"/>
        <v>1050</v>
      </c>
      <c r="D115" s="15">
        <f>IFERROR(VLOOKUP(C115&amp;"-I",Crias!$A$5:$G$6221,7,FALSE),E115)</f>
        <v>45978</v>
      </c>
      <c r="E115" s="15">
        <f>IFERROR(IF(C115="","",VLOOKUP(C115,Crias!$A$5:$G$6221,7,FALSE)),"Novilha")</f>
        <v>45978</v>
      </c>
      <c r="F115" s="16">
        <f t="shared" si="7"/>
        <v>9.5333333333333332</v>
      </c>
      <c r="G115" s="17">
        <f>IF(F115="","",COUNTIF(Crias!$B$5:$B$6221,Matrizes!C115)+A115)</f>
        <v>1</v>
      </c>
      <c r="H115" s="18">
        <f t="shared" si="5"/>
        <v>9.5333333333333332</v>
      </c>
      <c r="I115" s="21"/>
    </row>
    <row r="116" spans="2:9" ht="18" customHeight="1" x14ac:dyDescent="0.45">
      <c r="B116" s="167">
        <f>IF(C116="","",+LARGE($B$5:B115,1)+1)</f>
        <v>56</v>
      </c>
      <c r="C116" s="23">
        <f t="shared" si="6"/>
        <v>1051</v>
      </c>
      <c r="D116" s="15">
        <f>IFERROR(VLOOKUP(C116&amp;"-I",Crias!$A$5:$G$6221,7,FALSE),E116)</f>
        <v>45566</v>
      </c>
      <c r="E116" s="15">
        <f>IFERROR(IF(C116="","",VLOOKUP(C116,Crias!$A$5:$G$6221,7,FALSE)),"Novilha")</f>
        <v>45946</v>
      </c>
      <c r="F116" s="16">
        <f t="shared" si="7"/>
        <v>22.2</v>
      </c>
      <c r="G116" s="17">
        <f>IF(F116="","",COUNTIF(Crias!$B$5:$B$6221,Matrizes!C116)+A116)</f>
        <v>2</v>
      </c>
      <c r="H116" s="18">
        <f t="shared" si="5"/>
        <v>11.1</v>
      </c>
      <c r="I116" s="21"/>
    </row>
    <row r="117" spans="2:9" ht="18" customHeight="1" x14ac:dyDescent="0.45">
      <c r="B117" s="167">
        <f>IF(C117="","",+LARGE($B$5:B116,1)+1)</f>
        <v>57</v>
      </c>
      <c r="C117" s="23">
        <f t="shared" si="6"/>
        <v>1052</v>
      </c>
      <c r="D117" s="15">
        <f>IFERROR(VLOOKUP(C117&amp;"-I",Crias!$A$5:$G$6221,7,FALSE),E117)</f>
        <v>45919</v>
      </c>
      <c r="E117" s="15">
        <f>IFERROR(IF(C117="","",VLOOKUP(C117,Crias!$A$5:$G$6221,7,FALSE)),"Novilha")</f>
        <v>45919</v>
      </c>
      <c r="F117" s="16">
        <f t="shared" si="7"/>
        <v>9.5333333333333332</v>
      </c>
      <c r="G117" s="17">
        <f>IF(F117="","",COUNTIF(Crias!$B$5:$B$6221,Matrizes!C117)+A117)</f>
        <v>1</v>
      </c>
      <c r="H117" s="18">
        <f t="shared" si="5"/>
        <v>9.5333333333333332</v>
      </c>
      <c r="I117" s="21"/>
    </row>
    <row r="118" spans="2:9" ht="18" customHeight="1" x14ac:dyDescent="0.45">
      <c r="B118" s="167">
        <f>IF(C118="","",+LARGE($B$5:B117,1)+1)</f>
        <v>58</v>
      </c>
      <c r="C118" s="23">
        <f t="shared" si="6"/>
        <v>1053</v>
      </c>
      <c r="D118" s="15" t="str">
        <f>IFERROR(VLOOKUP(C118&amp;"-I",Crias!$A$5:$G$6221,7,FALSE),E118)</f>
        <v>Novilha</v>
      </c>
      <c r="E118" s="15" t="str">
        <f>IFERROR(IF(C118="","",VLOOKUP(C118,Crias!$A$5:$G$6221,7,FALSE)),"Novilha")</f>
        <v>Novilha</v>
      </c>
      <c r="F118" s="16" t="str">
        <f t="shared" si="7"/>
        <v>N/A</v>
      </c>
      <c r="G118" s="17">
        <f>IF(F118="","",COUNTIF(Crias!$B$5:$B$6221,Matrizes!C118)+A118)</f>
        <v>0</v>
      </c>
      <c r="H118" s="18" t="str">
        <f t="shared" si="5"/>
        <v/>
      </c>
      <c r="I118" s="21"/>
    </row>
    <row r="119" spans="2:9" ht="18" customHeight="1" x14ac:dyDescent="0.45">
      <c r="B119" s="167">
        <f>IF(C119="","",+LARGE($B$5:B118,1)+1)</f>
        <v>59</v>
      </c>
      <c r="C119" s="23">
        <f t="shared" si="6"/>
        <v>1054</v>
      </c>
      <c r="D119" s="15">
        <f>IFERROR(VLOOKUP(C119&amp;"-I",Crias!$A$5:$G$6221,7,FALSE),E119)</f>
        <v>45866</v>
      </c>
      <c r="E119" s="15">
        <f>IFERROR(IF(C119="","",VLOOKUP(C119,Crias!$A$5:$G$6221,7,FALSE)),"Novilha")</f>
        <v>45866</v>
      </c>
      <c r="F119" s="16">
        <f t="shared" si="7"/>
        <v>9.5333333333333332</v>
      </c>
      <c r="G119" s="17">
        <f>IF(F119="","",COUNTIF(Crias!$B$5:$B$6221,Matrizes!C119)+A119)</f>
        <v>1</v>
      </c>
      <c r="H119" s="18">
        <f t="shared" si="5"/>
        <v>9.5333333333333332</v>
      </c>
      <c r="I119" s="21"/>
    </row>
    <row r="120" spans="2:9" ht="18" customHeight="1" x14ac:dyDescent="0.45">
      <c r="B120" s="167">
        <f>IF(C120="","",+LARGE($B$5:B119,1)+1)</f>
        <v>60</v>
      </c>
      <c r="C120" s="23">
        <f t="shared" si="6"/>
        <v>1055</v>
      </c>
      <c r="D120" s="15">
        <f>IFERROR(VLOOKUP(C120&amp;"-I",Crias!$A$5:$G$6221,7,FALSE),E120)</f>
        <v>45975</v>
      </c>
      <c r="E120" s="15">
        <f>IFERROR(IF(C120="","",VLOOKUP(C120,Crias!$A$5:$G$6221,7,FALSE)),"Novilha")</f>
        <v>45975</v>
      </c>
      <c r="F120" s="16">
        <f t="shared" si="7"/>
        <v>9.5333333333333332</v>
      </c>
      <c r="G120" s="17">
        <f>IF(F120="","",COUNTIF(Crias!$B$5:$B$6221,Matrizes!C120)+A120)</f>
        <v>1</v>
      </c>
      <c r="H120" s="18">
        <f t="shared" si="5"/>
        <v>9.5333333333333332</v>
      </c>
      <c r="I120" s="22"/>
    </row>
    <row r="121" spans="2:9" ht="18" customHeight="1" x14ac:dyDescent="0.45">
      <c r="B121" s="167">
        <f>IF(C121="","",+LARGE($B$5:B120,1)+1)</f>
        <v>61</v>
      </c>
      <c r="C121" s="23">
        <f t="shared" si="6"/>
        <v>1056</v>
      </c>
      <c r="D121" s="15">
        <f>IFERROR(VLOOKUP(C121&amp;"-I",Crias!$A$5:$G$6221,7,FALSE),E121)</f>
        <v>45898</v>
      </c>
      <c r="E121" s="15">
        <f>IFERROR(IF(C121="","",VLOOKUP(C121,Crias!$A$5:$G$6221,7,FALSE)),"Novilha")</f>
        <v>45898</v>
      </c>
      <c r="F121" s="16">
        <f t="shared" si="7"/>
        <v>9.5333333333333332</v>
      </c>
      <c r="G121" s="17">
        <f>IF(F121="","",COUNTIF(Crias!$B$5:$B$6221,Matrizes!C121)+A121)</f>
        <v>1</v>
      </c>
      <c r="H121" s="18">
        <f t="shared" si="5"/>
        <v>9.5333333333333332</v>
      </c>
      <c r="I121" s="22"/>
    </row>
    <row r="122" spans="2:9" ht="18" customHeight="1" x14ac:dyDescent="0.45">
      <c r="B122" s="167">
        <f>IF(C122="","",+LARGE($B$5:B121,1)+1)</f>
        <v>62</v>
      </c>
      <c r="C122" s="23">
        <f t="shared" si="6"/>
        <v>1057</v>
      </c>
      <c r="D122" s="15">
        <v>46079</v>
      </c>
      <c r="E122" s="15">
        <v>46079</v>
      </c>
      <c r="F122" s="16">
        <f t="shared" si="7"/>
        <v>9.5333333333333332</v>
      </c>
      <c r="G122" s="17">
        <f>IF(F122="","",COUNTIF(Crias!$B$5:$B$6221,Matrizes!C122)+A122)</f>
        <v>1</v>
      </c>
      <c r="H122" s="18">
        <f t="shared" si="5"/>
        <v>9.5333333333333332</v>
      </c>
      <c r="I122" s="22"/>
    </row>
    <row r="123" spans="2:9" ht="18" customHeight="1" x14ac:dyDescent="0.45">
      <c r="B123" s="167">
        <f>IF(C123="","",+LARGE($B$5:B122,1)+1)</f>
        <v>63</v>
      </c>
      <c r="C123" s="23">
        <f t="shared" si="6"/>
        <v>1058</v>
      </c>
      <c r="D123" s="82">
        <f>IFERROR(VLOOKUP(C123&amp;"-I",Crias!$A$5:$G$6221,7,FALSE),E123)</f>
        <v>45809</v>
      </c>
      <c r="E123" s="15">
        <f>IFERROR(IF(C123="","",VLOOKUP(C123,Crias!$A$5:$G$6221,7,FALSE)),"Novilha")</f>
        <v>45809</v>
      </c>
      <c r="F123" s="16">
        <f t="shared" si="7"/>
        <v>9.5333333333333332</v>
      </c>
      <c r="G123" s="17">
        <f>IF(F123="","",COUNTIF(Crias!$B$5:$B$6221,Matrizes!C123)+A123)</f>
        <v>1</v>
      </c>
      <c r="H123" s="18">
        <f t="shared" si="5"/>
        <v>9.5333333333333332</v>
      </c>
      <c r="I123" s="22"/>
    </row>
    <row r="124" spans="2:9" ht="18" customHeight="1" x14ac:dyDescent="0.45">
      <c r="B124" s="167">
        <f>IF(C124="","",+LARGE($B$5:B123,1)+1)</f>
        <v>64</v>
      </c>
      <c r="C124" s="23">
        <f t="shared" si="6"/>
        <v>1059</v>
      </c>
      <c r="D124" s="15">
        <f>IFERROR(VLOOKUP(C124&amp;"-I",Crias!$A$5:$G$6221,7,FALSE),E124)</f>
        <v>45592</v>
      </c>
      <c r="E124" s="15">
        <f>IFERROR(IF(C124="","",VLOOKUP(C124,Crias!$A$5:$G$6221,7,FALSE)),"Novilha")</f>
        <v>46096</v>
      </c>
      <c r="F124" s="16">
        <f t="shared" si="7"/>
        <v>26.333333333333332</v>
      </c>
      <c r="G124" s="17">
        <f>IF(F124="","",COUNTIF(Crias!$B$5:$B$6221,Matrizes!C124)+A124)</f>
        <v>2</v>
      </c>
      <c r="H124" s="18">
        <f t="shared" si="5"/>
        <v>13.166666666666666</v>
      </c>
      <c r="I124" s="22" t="s">
        <v>1205</v>
      </c>
    </row>
    <row r="125" spans="2:9" ht="18" customHeight="1" x14ac:dyDescent="0.45">
      <c r="B125" s="167">
        <f>IF(C125="","",+LARGE($B$5:B124,1)+1)</f>
        <v>65</v>
      </c>
      <c r="C125" s="23">
        <f t="shared" si="6"/>
        <v>1060</v>
      </c>
      <c r="D125" s="15">
        <f>IFERROR(VLOOKUP(C125&amp;"-I",Crias!$A$5:$G$6221,7,FALSE),E125)</f>
        <v>45890</v>
      </c>
      <c r="E125" s="15">
        <f>IFERROR(IF(C125="","",VLOOKUP(C125,Crias!$A$5:$G$6221,7,FALSE)),"Novilha")</f>
        <v>45890</v>
      </c>
      <c r="F125" s="16">
        <f t="shared" si="7"/>
        <v>9.5333333333333332</v>
      </c>
      <c r="G125" s="17">
        <f>IF(F125="","",COUNTIF(Crias!$B$5:$B$6221,Matrizes!C125)+A125)</f>
        <v>1</v>
      </c>
      <c r="H125" s="18">
        <f t="shared" si="5"/>
        <v>9.5333333333333332</v>
      </c>
      <c r="I125" s="22" t="s">
        <v>835</v>
      </c>
    </row>
    <row r="126" spans="2:9" ht="18" customHeight="1" x14ac:dyDescent="0.45">
      <c r="B126" s="167">
        <f>IF(C126="","",+LARGE($B$5:B125,1)+1)</f>
        <v>66</v>
      </c>
      <c r="C126" s="23">
        <f t="shared" si="6"/>
        <v>1061</v>
      </c>
      <c r="D126" s="15">
        <f>IFERROR(VLOOKUP(C126&amp;"-I",Crias!$A$5:$G$6221,7,FALSE),E126)</f>
        <v>45844</v>
      </c>
      <c r="E126" s="15">
        <f>IFERROR(IF(C126="","",VLOOKUP(C126,Crias!$A$5:$G$6221,7,FALSE)),"Novilha")</f>
        <v>45844</v>
      </c>
      <c r="F126" s="16">
        <f t="shared" si="7"/>
        <v>9.5333333333333332</v>
      </c>
      <c r="G126" s="17">
        <f>IF(F126="","",COUNTIF(Crias!$B$5:$B$6221,Matrizes!C126)+A126)</f>
        <v>1</v>
      </c>
      <c r="H126" s="18">
        <f t="shared" si="5"/>
        <v>9.5333333333333332</v>
      </c>
      <c r="I126" s="21"/>
    </row>
    <row r="127" spans="2:9" ht="18" customHeight="1" x14ac:dyDescent="0.45">
      <c r="B127" s="167">
        <f>IF(C127="","",+LARGE($B$5:B126,1)+1)</f>
        <v>67</v>
      </c>
      <c r="C127" s="23">
        <f t="shared" si="6"/>
        <v>1062</v>
      </c>
      <c r="D127" s="15">
        <f>IFERROR(VLOOKUP(C127&amp;"-I",Crias!$A$5:$G$6221,7,FALSE),E127)</f>
        <v>46037</v>
      </c>
      <c r="E127" s="15">
        <f>IFERROR(IF(C127="","",VLOOKUP(C127,Crias!$A$5:$G$6221,7,FALSE)),"Novilha")</f>
        <v>46037</v>
      </c>
      <c r="F127" s="16">
        <f t="shared" si="7"/>
        <v>9.5333333333333332</v>
      </c>
      <c r="G127" s="17">
        <f>IF(F127="","",COUNTIF(Crias!$B$5:$B$6221,Matrizes!C127)+A127)</f>
        <v>1</v>
      </c>
      <c r="H127" s="18">
        <f t="shared" si="5"/>
        <v>9.5333333333333332</v>
      </c>
      <c r="I127" s="21"/>
    </row>
    <row r="128" spans="2:9" ht="18" customHeight="1" x14ac:dyDescent="0.45">
      <c r="B128" s="167">
        <f>IF(C128="","",+LARGE($B$5:B127,1)+1)</f>
        <v>68</v>
      </c>
      <c r="C128" s="23">
        <f t="shared" si="6"/>
        <v>1063</v>
      </c>
      <c r="D128" s="15" t="str">
        <f>IFERROR(VLOOKUP(C128&amp;"-I",Crias!$A$5:$G$6221,7,FALSE),E128)</f>
        <v>Novilha</v>
      </c>
      <c r="E128" s="15" t="str">
        <f>IFERROR(IF(C128="","",VLOOKUP(C128,Crias!$A$5:$G$6221,7,FALSE)),"Novilha")</f>
        <v>Novilha</v>
      </c>
      <c r="F128" s="16" t="str">
        <f t="shared" si="7"/>
        <v>N/A</v>
      </c>
      <c r="G128" s="17">
        <f>IF(F128="","",COUNTIF(Crias!$B$5:$B$6221,Matrizes!C128)+A128)</f>
        <v>0</v>
      </c>
      <c r="H128" s="18" t="str">
        <f t="shared" si="5"/>
        <v/>
      </c>
      <c r="I128" s="21"/>
    </row>
    <row r="129" spans="2:9" ht="18" customHeight="1" x14ac:dyDescent="0.45">
      <c r="B129" s="167">
        <f>IF(C129="","",+LARGE($B$5:B128,1)+1)</f>
        <v>69</v>
      </c>
      <c r="C129" s="23">
        <f t="shared" si="6"/>
        <v>1064</v>
      </c>
      <c r="D129" s="15" t="str">
        <f>IFERROR(VLOOKUP(C129&amp;"-I",Crias!$A$5:$G$6221,7,FALSE),E129)</f>
        <v>Novilha</v>
      </c>
      <c r="E129" s="15" t="str">
        <f>IFERROR(IF(C129="","",VLOOKUP(C129,Crias!$A$5:$G$6221,7,FALSE)),"Novilha")</f>
        <v>Novilha</v>
      </c>
      <c r="F129" s="16" t="str">
        <f t="shared" si="7"/>
        <v>N/A</v>
      </c>
      <c r="G129" s="17">
        <f>IF(F129="","",COUNTIF(Crias!$B$5:$B$6221,Matrizes!C129)+A129)</f>
        <v>0</v>
      </c>
      <c r="H129" s="18" t="str">
        <f t="shared" si="5"/>
        <v/>
      </c>
      <c r="I129" s="21"/>
    </row>
    <row r="130" spans="2:9" ht="18" customHeight="1" x14ac:dyDescent="0.45">
      <c r="B130" s="167">
        <f>IF(C130="","",+LARGE($B$5:B129,1)+1)</f>
        <v>70</v>
      </c>
      <c r="C130" s="23">
        <f t="shared" si="6"/>
        <v>1065</v>
      </c>
      <c r="D130" s="15" t="str">
        <f>IFERROR(VLOOKUP(C130&amp;"-I",Crias!$A$5:$G$6221,7,FALSE),E130)</f>
        <v>Novilha</v>
      </c>
      <c r="E130" s="15" t="str">
        <f>IFERROR(IF(C130="","",VLOOKUP(C130,Crias!$A$5:$G$6221,7,FALSE)),"Novilha")</f>
        <v>Novilha</v>
      </c>
      <c r="F130" s="16" t="str">
        <f t="shared" si="7"/>
        <v>N/A</v>
      </c>
      <c r="G130" s="17">
        <f>IF(F130="","",COUNTIF(Crias!$B$5:$B$6221,Matrizes!C130)+A130)</f>
        <v>0</v>
      </c>
      <c r="H130" s="18" t="str">
        <f t="shared" si="5"/>
        <v/>
      </c>
      <c r="I130" s="21"/>
    </row>
    <row r="131" spans="2:9" ht="18" customHeight="1" x14ac:dyDescent="0.45">
      <c r="B131" s="167">
        <f>IF(C131="","",+LARGE($B$5:B130,1)+1)</f>
        <v>71</v>
      </c>
      <c r="C131" s="23">
        <f t="shared" si="6"/>
        <v>1066</v>
      </c>
      <c r="D131" s="15" t="str">
        <f>IFERROR(VLOOKUP(C131&amp;"-I",Crias!$A$5:$G$6221,7,FALSE),E131)</f>
        <v>Novilha</v>
      </c>
      <c r="E131" s="15" t="str">
        <f>IFERROR(IF(C131="","",VLOOKUP(C131,Crias!$A$5:$G$6221,7,FALSE)),"Novilha")</f>
        <v>Novilha</v>
      </c>
      <c r="F131" s="16" t="str">
        <f t="shared" si="7"/>
        <v>N/A</v>
      </c>
      <c r="G131" s="17">
        <f>IF(F131="","",COUNTIF(Crias!$B$5:$B$6221,Matrizes!C131)+A131)</f>
        <v>0</v>
      </c>
      <c r="H131" s="18" t="str">
        <f t="shared" si="5"/>
        <v/>
      </c>
      <c r="I131" s="21"/>
    </row>
    <row r="132" spans="2:9" ht="18" customHeight="1" x14ac:dyDescent="0.45">
      <c r="B132" s="167">
        <f>IF(C132="","",+LARGE($B$5:B131,1)+1)</f>
        <v>72</v>
      </c>
      <c r="C132" s="23">
        <v>1067</v>
      </c>
      <c r="D132" s="15" t="str">
        <f>IFERROR(VLOOKUP(C132&amp;"-I",Crias!$A$5:$G$6221,7,FALSE),E132)</f>
        <v>Novilha</v>
      </c>
      <c r="E132" s="15" t="str">
        <f>IFERROR(IF(C132="","",VLOOKUP(C132,Crias!$A$5:$G$6221,7,FALSE)),"Novilha")</f>
        <v>Novilha</v>
      </c>
      <c r="F132" s="16" t="str">
        <f t="shared" si="7"/>
        <v>N/A</v>
      </c>
      <c r="G132" s="17">
        <f>IF(F132="","",COUNTIF(Crias!$B$5:$B$6221,Matrizes!C132)+A132)</f>
        <v>0</v>
      </c>
      <c r="H132" s="18" t="str">
        <f t="shared" si="5"/>
        <v/>
      </c>
      <c r="I132" s="21"/>
    </row>
    <row r="133" spans="2:9" ht="18" hidden="1" customHeight="1" x14ac:dyDescent="0.45">
      <c r="B133" s="167" t="str">
        <f>IF(C133="","",+LARGE($B$5:B132,1)+1)</f>
        <v/>
      </c>
      <c r="C133" s="23"/>
      <c r="D133" s="15" t="str">
        <f>IFERROR(VLOOKUP(C133&amp;"-I",Crias!$A$5:$G$6221,7,FALSE),E133)</f>
        <v/>
      </c>
      <c r="E133" s="15" t="str">
        <f>IFERROR(IF(C133="","",VLOOKUP(C133,Crias!$A$5:$G$6221,7,FALSE)),"Novilha")</f>
        <v/>
      </c>
      <c r="F133" s="16" t="str">
        <f t="shared" si="7"/>
        <v/>
      </c>
      <c r="G133" s="17" t="str">
        <f>IF(F133="","",COUNTIF(Crias!$B$5:$B$6221,Matrizes!C133)+A133)</f>
        <v/>
      </c>
      <c r="H133" s="18" t="str">
        <f t="shared" si="5"/>
        <v/>
      </c>
      <c r="I133" s="21"/>
    </row>
    <row r="134" spans="2:9" ht="18" hidden="1" customHeight="1" x14ac:dyDescent="0.45">
      <c r="B134" s="167" t="str">
        <f>IF(C134="","",+LARGE($B$5:B133,1)+1)</f>
        <v/>
      </c>
      <c r="C134" s="23"/>
      <c r="D134" s="15" t="str">
        <f>IFERROR(VLOOKUP(C134&amp;"-I",Crias!$A$5:$G$6221,7,FALSE),E134)</f>
        <v/>
      </c>
      <c r="E134" s="15" t="str">
        <f>IFERROR(IF(C134="","",VLOOKUP(C134,Crias!$A$5:$G$6221,7,FALSE)),"Novilha")</f>
        <v/>
      </c>
      <c r="F134" s="16" t="str">
        <f t="shared" si="7"/>
        <v/>
      </c>
      <c r="G134" s="17" t="str">
        <f>IF(F134="","",COUNTIF(Crias!$B$5:$B$6221,Matrizes!C134)+A134)</f>
        <v/>
      </c>
      <c r="H134" s="18" t="str">
        <f t="shared" si="5"/>
        <v/>
      </c>
      <c r="I134" s="21"/>
    </row>
    <row r="135" spans="2:9" ht="18" hidden="1" customHeight="1" x14ac:dyDescent="0.45">
      <c r="B135" s="167" t="str">
        <f>IF(C135="","",+LARGE($B$5:B134,1)+1)</f>
        <v/>
      </c>
      <c r="C135" s="23"/>
      <c r="D135" s="15" t="str">
        <f>IFERROR(VLOOKUP(C135&amp;"-I",Crias!$A$5:$G$6221,7,FALSE),E135)</f>
        <v/>
      </c>
      <c r="E135" s="15" t="str">
        <f>IFERROR(IF(C135="","",VLOOKUP(C135,Crias!$A$5:$G$6221,7,FALSE)),"Novilha")</f>
        <v/>
      </c>
      <c r="F135" s="16" t="str">
        <f t="shared" si="7"/>
        <v/>
      </c>
      <c r="G135" s="17" t="str">
        <f>IF(F135="","",COUNTIF(Crias!$B$5:$B$6221,Matrizes!C135)+A135)</f>
        <v/>
      </c>
      <c r="H135" s="18" t="str">
        <f t="shared" si="5"/>
        <v/>
      </c>
      <c r="I135" s="21"/>
    </row>
    <row r="136" spans="2:9" ht="18" hidden="1" customHeight="1" x14ac:dyDescent="0.45">
      <c r="B136" s="167" t="str">
        <f>IF(C136="","",+LARGE($B$5:B135,1)+1)</f>
        <v/>
      </c>
      <c r="C136" s="23"/>
      <c r="D136" s="15" t="str">
        <f>IFERROR(VLOOKUP(C136&amp;"-I",Crias!$A$5:$G$6221,7,FALSE),E136)</f>
        <v/>
      </c>
      <c r="E136" s="15" t="str">
        <f>IFERROR(IF(C136="","",VLOOKUP(C136,Crias!$A$5:$G$6221,7,FALSE)),"Novilha")</f>
        <v/>
      </c>
      <c r="F136" s="16" t="str">
        <f t="shared" ref="F136" si="8">IFERROR(IF(D136="","",((E136-D136+1)/30)+9.5),"N/A")</f>
        <v/>
      </c>
      <c r="G136" s="17" t="str">
        <f>IF(F136="","",COUNTIF(Crias!$B$5:$B$6221,Matrizes!C136)+A136)</f>
        <v/>
      </c>
      <c r="H136" s="18" t="str">
        <f t="shared" ref="H136" si="9">IFERROR(F136/G136,"")</f>
        <v/>
      </c>
      <c r="I136" s="21"/>
    </row>
    <row r="137" spans="2:9" ht="18" hidden="1" customHeight="1" x14ac:dyDescent="0.45">
      <c r="B137" s="167" t="str">
        <f>IF(C137="","",+LARGE($B$5:B136,1)+1)</f>
        <v/>
      </c>
      <c r="C137" s="23"/>
      <c r="D137" s="15" t="str">
        <f>IFERROR(VLOOKUP(C137&amp;"-I",Crias!$A$5:$G$6221,7,FALSE),E137)</f>
        <v/>
      </c>
      <c r="E137" s="15" t="str">
        <f>IFERROR(IF(C137="","",VLOOKUP(C137,Crias!$A$5:$G$6221,7,FALSE)),"Novilha")</f>
        <v/>
      </c>
      <c r="F137" s="16" t="str">
        <f t="shared" ref="F137:F149" si="10">IFERROR(IF(D137="","",((E137-D137+1)/30)+9.5),"N/A")</f>
        <v/>
      </c>
      <c r="G137" s="17" t="str">
        <f>IF(F137="","",COUNTIF(Crias!$B$5:$B$6221,Matrizes!C137)+A137)</f>
        <v/>
      </c>
      <c r="H137" s="18" t="str">
        <f t="shared" ref="H137:H149" si="11">IFERROR(F137/G137,"")</f>
        <v/>
      </c>
      <c r="I137" s="21"/>
    </row>
    <row r="138" spans="2:9" ht="18" hidden="1" customHeight="1" x14ac:dyDescent="0.45">
      <c r="B138" s="167" t="str">
        <f>IF(C138="","",+LARGE($B$5:B137,1)+1)</f>
        <v/>
      </c>
      <c r="C138" s="23"/>
      <c r="D138" s="15" t="str">
        <f>IFERROR(VLOOKUP(C138&amp;"-I",Crias!$A$5:$G$6221,7,FALSE),E138)</f>
        <v/>
      </c>
      <c r="E138" s="15" t="str">
        <f>IFERROR(IF(C138="","",VLOOKUP(C138,Crias!$A$5:$G$6221,7,FALSE)),"Novilha")</f>
        <v/>
      </c>
      <c r="F138" s="16" t="str">
        <f t="shared" si="10"/>
        <v/>
      </c>
      <c r="G138" s="17" t="str">
        <f>IF(F138="","",COUNTIF(Crias!$B$5:$B$6221,Matrizes!C138)+A138)</f>
        <v/>
      </c>
      <c r="H138" s="18" t="str">
        <f t="shared" si="11"/>
        <v/>
      </c>
      <c r="I138" s="21"/>
    </row>
    <row r="139" spans="2:9" ht="18" hidden="1" customHeight="1" x14ac:dyDescent="0.45">
      <c r="B139" s="167" t="str">
        <f>IF(C139="","",+LARGE($B$5:B138,1)+1)</f>
        <v/>
      </c>
      <c r="C139" s="23"/>
      <c r="D139" s="15" t="str">
        <f>IFERROR(VLOOKUP(C139&amp;"-I",Crias!$A$5:$G$6221,7,FALSE),E139)</f>
        <v/>
      </c>
      <c r="E139" s="15" t="str">
        <f>IFERROR(IF(C139="","",VLOOKUP(C139,Crias!$A$5:$G$6221,7,FALSE)),"Novilha")</f>
        <v/>
      </c>
      <c r="F139" s="16" t="str">
        <f t="shared" si="10"/>
        <v/>
      </c>
      <c r="G139" s="17" t="str">
        <f>IF(F139="","",COUNTIF(Crias!$B$5:$B$6221,Matrizes!C139)+A139)</f>
        <v/>
      </c>
      <c r="H139" s="18" t="str">
        <f t="shared" si="11"/>
        <v/>
      </c>
      <c r="I139" s="21"/>
    </row>
    <row r="140" spans="2:9" ht="18" hidden="1" customHeight="1" x14ac:dyDescent="0.45">
      <c r="B140" s="167" t="str">
        <f>IF(C140="","",+LARGE($B$5:B139,1)+1)</f>
        <v/>
      </c>
      <c r="C140" s="23"/>
      <c r="D140" s="15" t="str">
        <f>IFERROR(VLOOKUP(C140&amp;"-I",Crias!$A$5:$G$6221,7,FALSE),E140)</f>
        <v/>
      </c>
      <c r="E140" s="15" t="str">
        <f>IFERROR(IF(C140="","",VLOOKUP(C140,Crias!$A$5:$G$6221,7,FALSE)),"Novilha")</f>
        <v/>
      </c>
      <c r="F140" s="16" t="str">
        <f t="shared" si="10"/>
        <v/>
      </c>
      <c r="G140" s="17" t="str">
        <f>IF(F140="","",COUNTIF(Crias!$B$5:$B$6221,Matrizes!C140)+A140)</f>
        <v/>
      </c>
      <c r="H140" s="18" t="str">
        <f t="shared" si="11"/>
        <v/>
      </c>
      <c r="I140" s="21"/>
    </row>
    <row r="141" spans="2:9" ht="18" hidden="1" customHeight="1" x14ac:dyDescent="0.45">
      <c r="B141" s="167" t="str">
        <f>IF(C141="","",+LARGE($B$5:B140,1)+1)</f>
        <v/>
      </c>
      <c r="C141" s="23"/>
      <c r="D141" s="15" t="str">
        <f>IFERROR(VLOOKUP(C141&amp;"-I",Crias!$A$5:$G$6221,7,FALSE),E141)</f>
        <v/>
      </c>
      <c r="E141" s="15" t="str">
        <f>IFERROR(IF(C141="","",VLOOKUP(C141,Crias!$A$5:$G$6221,7,FALSE)),"Novilha")</f>
        <v/>
      </c>
      <c r="F141" s="16" t="str">
        <f t="shared" si="10"/>
        <v/>
      </c>
      <c r="G141" s="17" t="str">
        <f>IF(F141="","",COUNTIF(Crias!$B$5:$B$6221,Matrizes!C141)+A141)</f>
        <v/>
      </c>
      <c r="H141" s="18" t="str">
        <f t="shared" si="11"/>
        <v/>
      </c>
      <c r="I141" s="21"/>
    </row>
    <row r="142" spans="2:9" ht="18" hidden="1" customHeight="1" x14ac:dyDescent="0.45">
      <c r="B142" s="167" t="str">
        <f>IF(C142="","",+LARGE($B$5:B141,1)+1)</f>
        <v/>
      </c>
      <c r="C142" s="23"/>
      <c r="D142" s="15" t="str">
        <f>IFERROR(VLOOKUP(C142&amp;"-I",Crias!$A$5:$G$6221,7,FALSE),E142)</f>
        <v/>
      </c>
      <c r="E142" s="15" t="str">
        <f>IFERROR(IF(C142="","",VLOOKUP(C142,Crias!$A$5:$G$6221,7,FALSE)),"Novilha")</f>
        <v/>
      </c>
      <c r="F142" s="16" t="str">
        <f t="shared" si="10"/>
        <v/>
      </c>
      <c r="G142" s="17" t="str">
        <f>IF(F142="","",COUNTIF(Crias!$B$5:$B$6221,Matrizes!C142)+A142)</f>
        <v/>
      </c>
      <c r="H142" s="18" t="str">
        <f t="shared" si="11"/>
        <v/>
      </c>
      <c r="I142" s="21"/>
    </row>
    <row r="143" spans="2:9" ht="18" hidden="1" customHeight="1" x14ac:dyDescent="0.45">
      <c r="B143" s="167" t="str">
        <f>IF(C143="","",+LARGE($B$5:B142,1)+1)</f>
        <v/>
      </c>
      <c r="C143" s="23"/>
      <c r="D143" s="15" t="str">
        <f>IFERROR(VLOOKUP(C143&amp;"-I",Crias!$A$5:$G$6221,7,FALSE),E143)</f>
        <v/>
      </c>
      <c r="E143" s="15" t="str">
        <f>IFERROR(IF(C143="","",VLOOKUP(C143,Crias!$A$5:$G$6221,7,FALSE)),"Novilha")</f>
        <v/>
      </c>
      <c r="F143" s="16" t="str">
        <f t="shared" si="10"/>
        <v/>
      </c>
      <c r="G143" s="17" t="str">
        <f>IF(F143="","",COUNTIF(Crias!$B$5:$B$6221,Matrizes!C143)+A143)</f>
        <v/>
      </c>
      <c r="H143" s="18" t="str">
        <f t="shared" si="11"/>
        <v/>
      </c>
      <c r="I143" s="21"/>
    </row>
    <row r="144" spans="2:9" ht="18" hidden="1" customHeight="1" x14ac:dyDescent="0.45">
      <c r="B144" s="167" t="str">
        <f>IF(C144="","",+LARGE($B$5:B143,1)+1)</f>
        <v/>
      </c>
      <c r="C144" s="23"/>
      <c r="D144" s="15" t="str">
        <f>IFERROR(VLOOKUP(C144&amp;"-I",Crias!$A$5:$G$6221,7,FALSE),E144)</f>
        <v/>
      </c>
      <c r="E144" s="15" t="str">
        <f>IFERROR(IF(C144="","",VLOOKUP(C144,Crias!$A$5:$G$6221,7,FALSE)),"Novilha")</f>
        <v/>
      </c>
      <c r="F144" s="16" t="str">
        <f t="shared" si="10"/>
        <v/>
      </c>
      <c r="G144" s="17" t="str">
        <f>IF(F144="","",COUNTIF(Crias!$B$5:$B$6221,Matrizes!C144)+A144)</f>
        <v/>
      </c>
      <c r="H144" s="18" t="str">
        <f t="shared" si="11"/>
        <v/>
      </c>
      <c r="I144" s="21"/>
    </row>
    <row r="145" spans="2:9" ht="18" hidden="1" customHeight="1" x14ac:dyDescent="0.45">
      <c r="B145" s="167" t="str">
        <f>IF(C145="","",+LARGE($B$5:B144,1)+1)</f>
        <v/>
      </c>
      <c r="C145" s="23"/>
      <c r="D145" s="15" t="str">
        <f>IFERROR(VLOOKUP(C145&amp;"-I",Crias!$A$5:$G$6221,7,FALSE),E145)</f>
        <v/>
      </c>
      <c r="E145" s="15" t="str">
        <f>IFERROR(IF(C145="","",VLOOKUP(C145,Crias!$A$5:$G$6221,7,FALSE)),"Novilha")</f>
        <v/>
      </c>
      <c r="F145" s="16" t="str">
        <f t="shared" si="10"/>
        <v/>
      </c>
      <c r="G145" s="17" t="str">
        <f>IF(F145="","",COUNTIF(Crias!$B$5:$B$6221,Matrizes!C145)+A145)</f>
        <v/>
      </c>
      <c r="H145" s="18" t="str">
        <f t="shared" si="11"/>
        <v/>
      </c>
      <c r="I145" s="21"/>
    </row>
    <row r="146" spans="2:9" ht="18" hidden="1" customHeight="1" x14ac:dyDescent="0.45">
      <c r="B146" s="167" t="str">
        <f>IF(C146="","",+LARGE($B$5:B145,1)+1)</f>
        <v/>
      </c>
      <c r="C146" s="23"/>
      <c r="D146" s="15" t="str">
        <f>IFERROR(VLOOKUP(C146&amp;"-I",Crias!$A$5:$G$6221,7,FALSE),E146)</f>
        <v/>
      </c>
      <c r="E146" s="15" t="str">
        <f>IFERROR(IF(C146="","",VLOOKUP(C146,Crias!$A$5:$G$6221,7,FALSE)),"Novilha")</f>
        <v/>
      </c>
      <c r="F146" s="16" t="str">
        <f t="shared" si="10"/>
        <v/>
      </c>
      <c r="G146" s="17" t="str">
        <f>IF(F146="","",COUNTIF(Crias!$B$5:$B$6221,Matrizes!C146)+A146)</f>
        <v/>
      </c>
      <c r="H146" s="18" t="str">
        <f t="shared" si="11"/>
        <v/>
      </c>
      <c r="I146" s="21"/>
    </row>
    <row r="147" spans="2:9" ht="18" hidden="1" customHeight="1" x14ac:dyDescent="0.45">
      <c r="B147" s="167" t="str">
        <f>IF(C147="","",+LARGE($B$5:B146,1)+1)</f>
        <v/>
      </c>
      <c r="C147" s="23"/>
      <c r="D147" s="15" t="str">
        <f>IFERROR(VLOOKUP(C147&amp;"-I",Crias!$A$5:$G$6221,7,FALSE),E147)</f>
        <v/>
      </c>
      <c r="E147" s="15" t="str">
        <f>IFERROR(IF(C147="","",VLOOKUP(C147,Crias!$A$5:$G$6221,7,FALSE)),"Novilha")</f>
        <v/>
      </c>
      <c r="F147" s="16" t="str">
        <f t="shared" si="10"/>
        <v/>
      </c>
      <c r="G147" s="17" t="str">
        <f>IF(F147="","",COUNTIF(Crias!$B$5:$B$6221,Matrizes!C147)+A147)</f>
        <v/>
      </c>
      <c r="H147" s="18" t="str">
        <f t="shared" si="11"/>
        <v/>
      </c>
      <c r="I147" s="21"/>
    </row>
    <row r="148" spans="2:9" ht="18" hidden="1" customHeight="1" x14ac:dyDescent="0.45">
      <c r="B148" s="167" t="str">
        <f>IF(C148="","",+LARGE($B$5:B147,1)+1)</f>
        <v/>
      </c>
      <c r="C148" s="23"/>
      <c r="D148" s="15" t="str">
        <f>IFERROR(VLOOKUP(C148&amp;"-I",Crias!$A$5:$G$6221,7,FALSE),E148)</f>
        <v/>
      </c>
      <c r="E148" s="15" t="str">
        <f>IFERROR(IF(C148="","",VLOOKUP(C148,Crias!$A$5:$G$6221,7,FALSE)),"Novilha")</f>
        <v/>
      </c>
      <c r="F148" s="16" t="str">
        <f t="shared" si="10"/>
        <v/>
      </c>
      <c r="G148" s="17" t="str">
        <f>IF(F148="","",COUNTIF(Crias!$B$5:$B$6221,Matrizes!C148)+A148)</f>
        <v/>
      </c>
      <c r="H148" s="18" t="str">
        <f t="shared" si="11"/>
        <v/>
      </c>
      <c r="I148" s="21"/>
    </row>
    <row r="149" spans="2:9" ht="18" hidden="1" customHeight="1" x14ac:dyDescent="0.45">
      <c r="B149" s="167" t="str">
        <f>IF(C149="","",+LARGE($B$5:B148,1)+1)</f>
        <v/>
      </c>
      <c r="C149" s="23"/>
      <c r="D149" s="15" t="str">
        <f>IFERROR(VLOOKUP(C149&amp;"-I",Crias!$A$5:$G$6221,7,FALSE),E149)</f>
        <v/>
      </c>
      <c r="E149" s="15" t="str">
        <f>IFERROR(IF(C149="","",VLOOKUP(C149,Crias!$A$5:$G$6221,7,FALSE)),"Novilha")</f>
        <v/>
      </c>
      <c r="F149" s="16" t="str">
        <f t="shared" si="10"/>
        <v/>
      </c>
      <c r="G149" s="17" t="str">
        <f>IF(F149="","",COUNTIF(Crias!$B$5:$B$6221,Matrizes!C149)+A149)</f>
        <v/>
      </c>
      <c r="H149" s="18" t="str">
        <f t="shared" si="11"/>
        <v/>
      </c>
      <c r="I149" s="21"/>
    </row>
  </sheetData>
  <sheetProtection sheet="1" formatCells="0" formatColumns="0" formatRows="0" autoFilter="0"/>
  <autoFilter ref="A4:AA149" xr:uid="{00000000-0009-0000-0000-000001000000}">
    <filterColumn colId="1">
      <customFilters>
        <customFilter operator="notEqual" val=" "/>
      </customFilters>
    </filterColumn>
  </autoFilter>
  <mergeCells count="1">
    <mergeCell ref="B2:I2"/>
  </mergeCells>
  <conditionalFormatting sqref="E5:E149">
    <cfRule type="iconSet" priority="24">
      <iconSet>
        <cfvo type="percent" val="0"/>
        <cfvo type="num" val="$I$3-15*30"/>
        <cfvo type="num" val="$I$3-13*30"/>
      </iconSet>
    </cfRule>
  </conditionalFormatting>
  <conditionalFormatting sqref="H5:H79">
    <cfRule type="iconSet" priority="26">
      <iconSet reverse="1">
        <cfvo type="percent" val="0"/>
        <cfvo type="num" val="13" gte="0"/>
        <cfvo type="num" val="15" gte="0"/>
      </iconSet>
    </cfRule>
  </conditionalFormatting>
  <conditionalFormatting sqref="H80:H149">
    <cfRule type="iconSet" priority="1">
      <iconSet reverse="1">
        <cfvo type="percent" val="0"/>
        <cfvo type="num" val="13" gte="0"/>
        <cfvo type="num" val="15" gte="0"/>
      </iconSe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XFD233"/>
  <sheetViews>
    <sheetView showZeros="0" topLeftCell="B1" zoomScaleNormal="100" zoomScaleSheetLayoutView="80" workbookViewId="0">
      <selection activeCell="E51" sqref="E51"/>
    </sheetView>
  </sheetViews>
  <sheetFormatPr defaultColWidth="1.83984375" defaultRowHeight="14.4" x14ac:dyDescent="0.55000000000000004"/>
  <cols>
    <col min="1" max="1" width="13.578125" style="24" hidden="1" customWidth="1"/>
    <col min="2" max="2" width="12.26171875" style="24" customWidth="1"/>
    <col min="3" max="3" width="11.15625" style="24" customWidth="1"/>
    <col min="4" max="4" width="17.68359375" style="24" customWidth="1"/>
    <col min="5" max="5" width="13.26171875" style="24" customWidth="1"/>
    <col min="6" max="6" width="12.26171875" style="24" customWidth="1"/>
    <col min="7" max="7" width="9.83984375" style="24" customWidth="1"/>
    <col min="8" max="8" width="11.578125" style="24" bestFit="1" customWidth="1"/>
    <col min="9" max="9" width="8.83984375" style="24" customWidth="1"/>
    <col min="10" max="10" width="10" style="33" customWidth="1"/>
    <col min="11" max="11" width="15" style="24" customWidth="1"/>
    <col min="12" max="12" width="11.15625" style="24" customWidth="1"/>
    <col min="13" max="13" width="13.41796875" style="24" customWidth="1"/>
    <col min="14" max="14" width="48.26171875" style="24" bestFit="1" customWidth="1"/>
    <col min="15" max="56" width="1.83984375" style="24" customWidth="1"/>
    <col min="57" max="16384" width="1.83984375" style="24"/>
  </cols>
  <sheetData>
    <row r="1" spans="1:16 16384:16384" ht="30.3" x14ac:dyDescent="0.55000000000000004">
      <c r="B1" s="177" t="s">
        <v>1079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9"/>
    </row>
    <row r="2" spans="1:16 16384:16384" ht="18.3" x14ac:dyDescent="0.7">
      <c r="B2" s="25" t="s">
        <v>25</v>
      </c>
      <c r="C2" s="26"/>
      <c r="D2" s="74">
        <v>45974</v>
      </c>
      <c r="E2" s="75" t="s">
        <v>1080</v>
      </c>
      <c r="F2" s="75"/>
      <c r="G2" s="76"/>
      <c r="H2" s="76"/>
      <c r="I2" s="76"/>
      <c r="J2" s="76"/>
      <c r="K2" s="77"/>
      <c r="L2" s="77"/>
      <c r="M2" s="78" t="s">
        <v>872</v>
      </c>
      <c r="N2" s="149" t="s">
        <v>1154</v>
      </c>
    </row>
    <row r="3" spans="1:16 16384:16384" ht="48" customHeight="1" x14ac:dyDescent="0.55000000000000004">
      <c r="B3" s="27" t="s">
        <v>17</v>
      </c>
      <c r="C3" s="27" t="s">
        <v>18</v>
      </c>
      <c r="D3" s="27" t="s">
        <v>1210</v>
      </c>
      <c r="E3" s="27" t="s">
        <v>19</v>
      </c>
      <c r="F3" s="27" t="s">
        <v>20</v>
      </c>
      <c r="G3" s="28" t="s">
        <v>885</v>
      </c>
      <c r="H3" s="175" t="s">
        <v>22</v>
      </c>
      <c r="I3" s="176"/>
      <c r="J3" s="28" t="s">
        <v>23</v>
      </c>
      <c r="K3" s="28" t="s">
        <v>873</v>
      </c>
      <c r="L3" s="28" t="s">
        <v>1195</v>
      </c>
      <c r="M3" s="28" t="s">
        <v>24</v>
      </c>
      <c r="N3" s="27" t="s">
        <v>21</v>
      </c>
    </row>
    <row r="4" spans="1:16 16384:16384" s="33" customFormat="1" hidden="1" x14ac:dyDescent="0.55000000000000004">
      <c r="A4" s="33" t="str">
        <f>IF(G4="VZ","",I4&amp;1)&amp;IF(K4&gt;0,"-N","")</f>
        <v>1</v>
      </c>
      <c r="B4" s="29">
        <f>+Matrizes!B5</f>
        <v>0</v>
      </c>
      <c r="C4" s="94">
        <f>+Matrizes!C5</f>
        <v>854</v>
      </c>
      <c r="D4" s="132">
        <f>+Matrizes!E5</f>
        <v>44569</v>
      </c>
      <c r="E4" s="94">
        <f>+Matrizes!G5</f>
        <v>13</v>
      </c>
      <c r="F4" s="133">
        <f>IFERROR(+Matrizes!H5,"")</f>
        <v>13.38974358974359</v>
      </c>
      <c r="G4" s="134"/>
      <c r="H4" s="132" t="str">
        <f t="shared" ref="H4:H13" si="0">IFERROR(IF(G4&gt;0,+$D$2-G4+285,""),"xxxxx")</f>
        <v/>
      </c>
      <c r="I4" s="135" t="str">
        <f>IFERROR(IF(G4&gt;0,IF(DAY(+$D$2-G4+285)&lt;=15,TEXT(+$D$2-G4+285-20,"Mmm")&amp;"-"&amp;TEXT(+$D$2-G4+285,"mmm"),TEXT(+$D$2-G4+285,"Mmm")&amp;"-"&amp;TEXT(+$D$2-G4+285+20,"mmm")),""),"xxxxx")</f>
        <v/>
      </c>
      <c r="J4" s="79"/>
      <c r="K4" s="195"/>
      <c r="L4" s="79"/>
      <c r="M4" s="79" t="s">
        <v>1094</v>
      </c>
      <c r="N4" s="200" t="s">
        <v>1211</v>
      </c>
      <c r="P4" s="24"/>
      <c r="XFD4" s="33">
        <v>1</v>
      </c>
    </row>
    <row r="5" spans="1:16 16384:16384" hidden="1" x14ac:dyDescent="0.55000000000000004">
      <c r="A5" s="33" t="str">
        <f>IF(G5="VZ","",I5&amp;COUNTIF($I$4:I4,I5)+1)&amp;IF(K5&gt;0,"-N","")</f>
        <v>2</v>
      </c>
      <c r="B5" s="29">
        <f>+Matrizes!B6</f>
        <v>0</v>
      </c>
      <c r="C5" s="94">
        <f>+Matrizes!C6</f>
        <v>858</v>
      </c>
      <c r="D5" s="132">
        <f>+Matrizes!E6</f>
        <v>45548</v>
      </c>
      <c r="E5" s="94">
        <f>+Matrizes!G6</f>
        <v>13</v>
      </c>
      <c r="F5" s="133">
        <f>IFERROR(+Matrizes!H6,"")</f>
        <v>15.36923076923077</v>
      </c>
      <c r="G5" s="134"/>
      <c r="H5" s="132" t="str">
        <f t="shared" si="0"/>
        <v/>
      </c>
      <c r="I5" s="135" t="str">
        <f t="shared" ref="I5:I13" si="1">IFERROR(IF(G5&gt;0,IF(DAY(+$D$2-G5+285)&lt;=15,TEXT(+$D$2-G5+285-20,"Mmm")&amp;"-"&amp;TEXT(+$D$2-G5+285,"mmm"),TEXT(+$D$2-G5+285,"Mmm")&amp;"-"&amp;TEXT(+$D$2-G5+285+20,"mmm")),""),"xxxxx")</f>
        <v/>
      </c>
      <c r="J5" s="79"/>
      <c r="K5" s="79"/>
      <c r="L5" s="79"/>
      <c r="M5" s="79"/>
      <c r="N5" s="201"/>
    </row>
    <row r="6" spans="1:16 16384:16384" hidden="1" x14ac:dyDescent="0.55000000000000004">
      <c r="A6" s="33" t="str">
        <f>IF(G6="VZ","",I6&amp;COUNTIF($I$4:I5,I6)+1)&amp;IF(K6&gt;0,"-N","")</f>
        <v>3</v>
      </c>
      <c r="B6" s="29">
        <f>+Matrizes!B7</f>
        <v>0</v>
      </c>
      <c r="C6" s="94">
        <v>859</v>
      </c>
      <c r="D6" s="132">
        <v>44792</v>
      </c>
      <c r="E6" s="94">
        <v>12</v>
      </c>
      <c r="F6" s="133">
        <v>15.01</v>
      </c>
      <c r="G6" s="134"/>
      <c r="H6" s="132" t="str">
        <f t="shared" si="0"/>
        <v/>
      </c>
      <c r="I6" s="135" t="str">
        <f t="shared" si="1"/>
        <v/>
      </c>
      <c r="J6" s="79"/>
      <c r="K6" s="79"/>
      <c r="L6" s="79"/>
      <c r="M6" s="79"/>
      <c r="N6" s="201"/>
    </row>
    <row r="7" spans="1:16 16384:16384" x14ac:dyDescent="0.55000000000000004">
      <c r="A7" s="33" t="str">
        <f>IF(G7="VZ","",I7&amp;COUNTIF($I$4:I6,I7)+1)&amp;IF(K7&gt;0,"-N","")</f>
        <v>dez-jan1-N</v>
      </c>
      <c r="B7" s="29">
        <f>+Matrizes!B8</f>
        <v>1</v>
      </c>
      <c r="C7" s="94">
        <f>+Matrizes!C8</f>
        <v>860</v>
      </c>
      <c r="D7" s="132">
        <f>+Matrizes!E8</f>
        <v>46045</v>
      </c>
      <c r="E7" s="94">
        <f>+Matrizes!G8</f>
        <v>12</v>
      </c>
      <c r="F7" s="133">
        <f>IFERROR(+Matrizes!H8,"")</f>
        <v>17.31111111111111</v>
      </c>
      <c r="G7" s="134">
        <v>240</v>
      </c>
      <c r="H7" s="132">
        <f t="shared" ref="H7" si="2">IFERROR(IF(G7&gt;0,+$D$2-G7+285,""),"xxxxx")</f>
        <v>46019</v>
      </c>
      <c r="I7" s="135" t="str">
        <f t="shared" si="1"/>
        <v>dez-jan</v>
      </c>
      <c r="J7" s="79" t="s">
        <v>1120</v>
      </c>
      <c r="K7" s="195">
        <v>46045</v>
      </c>
      <c r="L7" s="79" t="s">
        <v>12</v>
      </c>
      <c r="M7" s="79">
        <v>1153</v>
      </c>
      <c r="N7" s="201"/>
    </row>
    <row r="8" spans="1:16 16384:16384" hidden="1" x14ac:dyDescent="0.55000000000000004">
      <c r="A8" s="33" t="str">
        <f>IF(G8="VZ","",I8&amp;COUNTIF($I$4:I7,I8)+1)&amp;IF(K8&gt;0,"-N","")</f>
        <v>4</v>
      </c>
      <c r="B8" s="29">
        <f>+Matrizes!B9</f>
        <v>0</v>
      </c>
      <c r="C8" s="94">
        <f>+Matrizes!C9</f>
        <v>862</v>
      </c>
      <c r="D8" s="132">
        <f>+Matrizes!E9</f>
        <v>44893</v>
      </c>
      <c r="E8" s="94">
        <f>+Matrizes!G9</f>
        <v>12</v>
      </c>
      <c r="F8" s="133">
        <f>IFERROR(+Matrizes!H9,"")</f>
        <v>14.825000000000001</v>
      </c>
      <c r="G8" s="134"/>
      <c r="H8" s="132" t="str">
        <f t="shared" si="0"/>
        <v/>
      </c>
      <c r="I8" s="135" t="str">
        <f t="shared" si="1"/>
        <v/>
      </c>
      <c r="J8" s="79"/>
      <c r="K8" s="195"/>
      <c r="L8" s="79"/>
      <c r="M8" s="79" t="s">
        <v>1071</v>
      </c>
      <c r="N8" s="201"/>
      <c r="XFD8" s="33">
        <v>1</v>
      </c>
    </row>
    <row r="9" spans="1:16 16384:16384" x14ac:dyDescent="0.55000000000000004">
      <c r="A9" s="33" t="str">
        <f>IF(G9="VZ","",I9&amp;COUNTIF($I$4:I8,I9)+1)&amp;IF(K9&gt;0,"-N","")</f>
        <v>-N</v>
      </c>
      <c r="B9" s="29">
        <f>+Matrizes!B10</f>
        <v>2</v>
      </c>
      <c r="C9" s="94">
        <f>+Matrizes!C10</f>
        <v>863</v>
      </c>
      <c r="D9" s="132">
        <f>+Matrizes!E10</f>
        <v>45486</v>
      </c>
      <c r="E9" s="94">
        <f>+Matrizes!G10</f>
        <v>13</v>
      </c>
      <c r="F9" s="133">
        <f>IFERROR(+Matrizes!H10,"")</f>
        <v>15.705128205128204</v>
      </c>
      <c r="G9" s="134" t="s">
        <v>1160</v>
      </c>
      <c r="H9" s="132" t="str">
        <f t="shared" si="0"/>
        <v>xxxxx</v>
      </c>
      <c r="I9" s="135" t="str">
        <f t="shared" si="1"/>
        <v>xxxxx</v>
      </c>
      <c r="J9" s="79"/>
      <c r="K9" s="79" t="s">
        <v>1208</v>
      </c>
      <c r="L9" s="79"/>
      <c r="M9" s="79"/>
      <c r="N9" s="201"/>
    </row>
    <row r="10" spans="1:16 16384:16384" hidden="1" x14ac:dyDescent="0.55000000000000004">
      <c r="A10" s="33" t="str">
        <f>IF(G10="VZ","",I10&amp;COUNTIF($I$4:I9,I10)+1)&amp;IF(K10&gt;0,"-N","")</f>
        <v>5</v>
      </c>
      <c r="B10" s="29">
        <f>+Matrizes!B11</f>
        <v>0</v>
      </c>
      <c r="C10" s="94">
        <f>+Matrizes!C11</f>
        <v>865</v>
      </c>
      <c r="D10" s="132">
        <f>+Matrizes!E11</f>
        <v>45196</v>
      </c>
      <c r="E10" s="94">
        <f>+Matrizes!G11</f>
        <v>12</v>
      </c>
      <c r="F10" s="133">
        <f>IFERROR(+Matrizes!H11,"")</f>
        <v>15.141666666666666</v>
      </c>
      <c r="G10" s="134"/>
      <c r="H10" s="132" t="str">
        <f t="shared" si="0"/>
        <v/>
      </c>
      <c r="I10" s="135" t="str">
        <f t="shared" si="1"/>
        <v/>
      </c>
      <c r="J10" s="79"/>
      <c r="K10" s="195"/>
      <c r="L10" s="79"/>
      <c r="M10" s="79" t="s">
        <v>1094</v>
      </c>
      <c r="N10" s="201"/>
      <c r="XFD10" s="33">
        <v>1</v>
      </c>
    </row>
    <row r="11" spans="1:16 16384:16384" x14ac:dyDescent="0.55000000000000004">
      <c r="A11" s="33" t="str">
        <f>IF(G11="VZ","",I11&amp;COUNTIF($I$4:I10,I11)+1)&amp;IF(K11&gt;0,"-N","")</f>
        <v>nov-dez1-N</v>
      </c>
      <c r="B11" s="29">
        <f>+Matrizes!B12</f>
        <v>3</v>
      </c>
      <c r="C11" s="94">
        <f>+Matrizes!C12</f>
        <v>867</v>
      </c>
      <c r="D11" s="132">
        <f>+Matrizes!E12</f>
        <v>45944</v>
      </c>
      <c r="E11" s="94">
        <f>+Matrizes!G12</f>
        <v>15</v>
      </c>
      <c r="F11" s="133">
        <f>IFERROR(+Matrizes!H12,"")</f>
        <v>13.74</v>
      </c>
      <c r="G11" s="134">
        <v>270</v>
      </c>
      <c r="H11" s="132">
        <f t="shared" si="0"/>
        <v>45989</v>
      </c>
      <c r="I11" s="135" t="str">
        <f t="shared" si="1"/>
        <v>nov-dez</v>
      </c>
      <c r="J11" s="79" t="s">
        <v>1163</v>
      </c>
      <c r="K11" s="195">
        <v>45944</v>
      </c>
      <c r="L11" s="79" t="s">
        <v>11</v>
      </c>
      <c r="M11" s="79">
        <v>1136</v>
      </c>
      <c r="N11" s="201"/>
    </row>
    <row r="12" spans="1:16 16384:16384" hidden="1" x14ac:dyDescent="0.55000000000000004">
      <c r="A12" s="33" t="str">
        <f>IF(G12="VZ","",I12&amp;COUNTIF($I$4:I11,I12)+1)&amp;IF(K12&gt;0,"-N","")</f>
        <v>6</v>
      </c>
      <c r="B12" s="29">
        <f>+Matrizes!B13</f>
        <v>0</v>
      </c>
      <c r="C12" s="94">
        <f>+Matrizes!C13</f>
        <v>869</v>
      </c>
      <c r="D12" s="132">
        <f>+Matrizes!E13</f>
        <v>44646</v>
      </c>
      <c r="E12" s="94">
        <f>+Matrizes!G13</f>
        <v>10</v>
      </c>
      <c r="F12" s="133">
        <f>IFERROR(+Matrizes!H13,"")</f>
        <v>16.966666666666665</v>
      </c>
      <c r="G12" s="134"/>
      <c r="H12" s="132" t="str">
        <f t="shared" si="0"/>
        <v/>
      </c>
      <c r="I12" s="135" t="str">
        <f t="shared" si="1"/>
        <v/>
      </c>
      <c r="J12" s="79"/>
      <c r="K12" s="195"/>
      <c r="L12" s="79"/>
      <c r="M12" s="79" t="s">
        <v>1071</v>
      </c>
      <c r="N12" s="201"/>
      <c r="XFD12" s="33">
        <v>1</v>
      </c>
    </row>
    <row r="13" spans="1:16 16384:16384" hidden="1" x14ac:dyDescent="0.55000000000000004">
      <c r="A13" s="33" t="str">
        <f>IF(G13="VZ","",I13&amp;COUNTIF($I$4:I12,I13)+1)&amp;IF(K13&gt;0,"-N","")</f>
        <v>7</v>
      </c>
      <c r="B13" s="29">
        <f>+Matrizes!B14</f>
        <v>0</v>
      </c>
      <c r="C13" s="94">
        <f>+Matrizes!C14</f>
        <v>870</v>
      </c>
      <c r="D13" s="132">
        <f>+Matrizes!E14</f>
        <v>44605</v>
      </c>
      <c r="E13" s="94">
        <f>+Matrizes!G14</f>
        <v>13</v>
      </c>
      <c r="F13" s="133">
        <f>IFERROR(+Matrizes!H14,"")</f>
        <v>13.38974358974359</v>
      </c>
      <c r="G13" s="134"/>
      <c r="H13" s="132" t="str">
        <f t="shared" si="0"/>
        <v/>
      </c>
      <c r="I13" s="135" t="str">
        <f t="shared" si="1"/>
        <v/>
      </c>
      <c r="J13" s="79"/>
      <c r="K13" s="195"/>
      <c r="L13" s="79"/>
      <c r="M13" s="196" t="s">
        <v>1094</v>
      </c>
      <c r="N13" s="201"/>
      <c r="O13" s="24" t="s">
        <v>878</v>
      </c>
      <c r="XFD13" s="33">
        <v>1</v>
      </c>
    </row>
    <row r="14" spans="1:16 16384:16384" hidden="1" x14ac:dyDescent="0.55000000000000004">
      <c r="A14" s="33" t="str">
        <f>IF(G14="VZ","",I14&amp;COUNTIF($I$4:I13,I14)+1)&amp;IF(K14&gt;0,"-N","")</f>
        <v>8</v>
      </c>
      <c r="B14" s="29">
        <f>+Matrizes!B15</f>
        <v>0</v>
      </c>
      <c r="C14" s="94">
        <f>+Matrizes!C15</f>
        <v>871</v>
      </c>
      <c r="D14" s="132">
        <f>+Matrizes!E15</f>
        <v>43423</v>
      </c>
      <c r="E14" s="94">
        <f>+Matrizes!G15</f>
        <v>10</v>
      </c>
      <c r="F14" s="133">
        <f>IFERROR(+Matrizes!H15,"")</f>
        <v>13.613333333333333</v>
      </c>
      <c r="G14" s="134"/>
      <c r="H14" s="132" t="str">
        <f t="shared" ref="H14:H30" si="3">IFERROR(IF(G14&gt;0,+$D$2-G14+285,""),"xxxxx")</f>
        <v/>
      </c>
      <c r="I14" s="135" t="str">
        <f>IFERROR(IF(G14&gt;0,IF(DAY(+$D$2-G14+285)&lt;=15,TEXT(+$D$2-G14+285-20,"Mmm")&amp;"-"&amp;TEXT(+$D$2-G14+285,"mmm"),TEXT(+$D$2-G14+285,"Mmm")&amp;"-"&amp;TEXT(+$D$2-G14+285+20,"mmm")),""),"xxxxx")</f>
        <v/>
      </c>
      <c r="J14" s="79"/>
      <c r="K14" s="195"/>
      <c r="L14" s="79"/>
      <c r="M14" s="79"/>
      <c r="N14" s="201"/>
    </row>
    <row r="15" spans="1:16 16384:16384" hidden="1" x14ac:dyDescent="0.55000000000000004">
      <c r="A15" s="33" t="str">
        <f>IF(G15="VZ","",I15&amp;COUNTIF($I$4:I14,I15)+1)&amp;IF(K15&gt;0,"-N","")</f>
        <v>9</v>
      </c>
      <c r="B15" s="29">
        <f>+Matrizes!B16</f>
        <v>0</v>
      </c>
      <c r="C15" s="94">
        <f>+Matrizes!C16</f>
        <v>872</v>
      </c>
      <c r="D15" s="132">
        <f>+Matrizes!E16</f>
        <v>43834</v>
      </c>
      <c r="E15" s="94">
        <f>+Matrizes!G16</f>
        <v>11</v>
      </c>
      <c r="F15" s="133">
        <f>IFERROR(+Matrizes!H16,"")</f>
        <v>13.484848484848486</v>
      </c>
      <c r="G15" s="134"/>
      <c r="H15" s="132" t="str">
        <f t="shared" si="3"/>
        <v/>
      </c>
      <c r="I15" s="135" t="str">
        <f>IFERROR(IF(G15&gt;0,IF(DAY(+$D$2-G15+285)&lt;=15,TEXT(+$D$2-G15+285-20,"Mmm")&amp;"-"&amp;TEXT(+$D$2-G15+285,"mmm"),TEXT(+$D$2-G15+285,"Mmm")&amp;"-"&amp;TEXT(+$D$2-G15+285+20,"mmm")),""),"xxxxx")</f>
        <v/>
      </c>
      <c r="J15" s="79"/>
      <c r="K15" s="195"/>
      <c r="L15" s="197"/>
      <c r="M15" s="79"/>
      <c r="N15" s="201"/>
    </row>
    <row r="16" spans="1:16 16384:16384" hidden="1" x14ac:dyDescent="0.55000000000000004">
      <c r="A16" s="33" t="str">
        <f>IF(G16="VZ","",I16&amp;COUNTIF($I$4:I15,I16)+1)&amp;IF(K16&gt;0,"-N","")</f>
        <v>10</v>
      </c>
      <c r="B16" s="29">
        <f>+Matrizes!B17</f>
        <v>0</v>
      </c>
      <c r="C16" s="94">
        <f>+Matrizes!C17</f>
        <v>873</v>
      </c>
      <c r="D16" s="132">
        <f>+Matrizes!E17</f>
        <v>45369</v>
      </c>
      <c r="E16" s="94">
        <f>+Matrizes!G17</f>
        <v>15</v>
      </c>
      <c r="F16" s="133">
        <f>IFERROR(+Matrizes!H17,"")</f>
        <v>13.2</v>
      </c>
      <c r="G16" s="134"/>
      <c r="H16" s="132" t="str">
        <f t="shared" si="3"/>
        <v/>
      </c>
      <c r="I16" s="135" t="str">
        <f t="shared" ref="I16:I29" si="4">IFERROR(IF(G16&gt;0,IF(DAY(+$D$2-G16+285)&lt;=15,TEXT(+$D$2-G16+285-20,"Mmm")&amp;"-"&amp;TEXT(+$D$2-G16+285,"mmm"),TEXT(+$D$2-G16+285,"Mmm")&amp;"-"&amp;TEXT(+$D$2-G16+285+20,"mmm")),""),"xxxxx")</f>
        <v/>
      </c>
      <c r="J16" s="79"/>
      <c r="K16" s="79"/>
      <c r="L16" s="79"/>
      <c r="M16" s="79"/>
      <c r="N16" s="201"/>
    </row>
    <row r="17" spans="1:69 16384:16384" x14ac:dyDescent="0.55000000000000004">
      <c r="A17" s="33" t="str">
        <f>IF(G17="VZ","",I17&amp;COUNTIF($I$4:I16,I17)+1)&amp;IF(K17&gt;0,"-N","")</f>
        <v>mar-abr1-N</v>
      </c>
      <c r="B17" s="29">
        <f>+Matrizes!B18</f>
        <v>4</v>
      </c>
      <c r="C17" s="94">
        <f>+Matrizes!C18</f>
        <v>874</v>
      </c>
      <c r="D17" s="132">
        <f>+Matrizes!E18</f>
        <v>46105</v>
      </c>
      <c r="E17" s="94">
        <v>15</v>
      </c>
      <c r="F17" s="133">
        <f>IFERROR(+Matrizes!H18,"")</f>
        <v>18.180555555555554</v>
      </c>
      <c r="G17" s="134">
        <v>160</v>
      </c>
      <c r="H17" s="132">
        <f t="shared" si="3"/>
        <v>46099</v>
      </c>
      <c r="I17" s="135" t="str">
        <f t="shared" si="4"/>
        <v>mar-abr</v>
      </c>
      <c r="J17" s="79" t="s">
        <v>1178</v>
      </c>
      <c r="K17" s="195">
        <v>46105</v>
      </c>
      <c r="L17" s="79" t="s">
        <v>11</v>
      </c>
      <c r="M17" s="79">
        <v>1161</v>
      </c>
      <c r="N17" s="201"/>
    </row>
    <row r="18" spans="1:69 16384:16384" hidden="1" x14ac:dyDescent="0.55000000000000004">
      <c r="A18" s="33" t="str">
        <f>IF(G18="VZ","",I18&amp;COUNTIF($I$4:I17,I18)+1)&amp;IF(K18&gt;0,"-N","")</f>
        <v>11</v>
      </c>
      <c r="B18" s="29">
        <f>+Matrizes!B19</f>
        <v>0</v>
      </c>
      <c r="C18" s="94">
        <f>+Matrizes!C19</f>
        <v>875</v>
      </c>
      <c r="D18" s="132">
        <f>+Matrizes!E19</f>
        <v>44197</v>
      </c>
      <c r="E18" s="94">
        <f>+Matrizes!G19</f>
        <v>10</v>
      </c>
      <c r="F18" s="133">
        <f>IFERROR(+Matrizes!H19,"")</f>
        <v>15.433333333333334</v>
      </c>
      <c r="G18" s="134"/>
      <c r="H18" s="132" t="str">
        <f t="shared" si="3"/>
        <v/>
      </c>
      <c r="I18" s="135" t="str">
        <f t="shared" si="4"/>
        <v/>
      </c>
      <c r="J18" s="79"/>
      <c r="K18" s="195"/>
      <c r="L18" s="79"/>
      <c r="M18" s="79"/>
      <c r="N18" s="201"/>
    </row>
    <row r="19" spans="1:69 16384:16384" x14ac:dyDescent="0.55000000000000004">
      <c r="A19" s="33" t="str">
        <f>IF(G19="VZ","",I19&amp;COUNTIF($I$4:I18,I19)+1)&amp;IF(K19&gt;0,"-N","")</f>
        <v>-N</v>
      </c>
      <c r="B19" s="29">
        <v>8</v>
      </c>
      <c r="C19" s="94">
        <f>+Matrizes!C20</f>
        <v>876</v>
      </c>
      <c r="D19" s="132">
        <f>+Matrizes!E20</f>
        <v>45673</v>
      </c>
      <c r="E19" s="94">
        <f>+Matrizes!G20</f>
        <v>14</v>
      </c>
      <c r="F19" s="133">
        <f>IFERROR(+Matrizes!H20,"")</f>
        <v>14.542857142857143</v>
      </c>
      <c r="G19" s="134" t="s">
        <v>1160</v>
      </c>
      <c r="H19" s="132" t="str">
        <f t="shared" si="3"/>
        <v>xxxxx</v>
      </c>
      <c r="I19" s="135" t="str">
        <f t="shared" si="4"/>
        <v>xxxxx</v>
      </c>
      <c r="J19" s="79"/>
      <c r="K19" s="79" t="s">
        <v>1208</v>
      </c>
      <c r="L19" s="79"/>
      <c r="M19" s="79"/>
      <c r="N19" s="201"/>
      <c r="BQ19" s="131"/>
    </row>
    <row r="20" spans="1:69 16384:16384" hidden="1" x14ac:dyDescent="0.55000000000000004">
      <c r="A20" s="33" t="str">
        <f>IF(G20="VZ","",I20&amp;COUNTIF($I$4:I19,I20)+1)&amp;IF(K20&gt;0,"-N","")</f>
        <v>12</v>
      </c>
      <c r="B20" s="29">
        <f>+Matrizes!B21</f>
        <v>0</v>
      </c>
      <c r="C20" s="94">
        <f>+Matrizes!C21</f>
        <v>877</v>
      </c>
      <c r="D20" s="132">
        <f>+Matrizes!E21</f>
        <v>44510</v>
      </c>
      <c r="E20" s="94">
        <f>+Matrizes!G21</f>
        <v>12</v>
      </c>
      <c r="F20" s="133">
        <f>IFERROR(+Matrizes!H21,"")</f>
        <v>13.780555555555557</v>
      </c>
      <c r="G20" s="134"/>
      <c r="H20" s="132" t="str">
        <f t="shared" si="3"/>
        <v/>
      </c>
      <c r="I20" s="135" t="str">
        <f t="shared" si="4"/>
        <v/>
      </c>
      <c r="J20" s="79"/>
      <c r="K20" s="195"/>
      <c r="L20" s="79"/>
      <c r="M20" s="79" t="s">
        <v>1071</v>
      </c>
      <c r="N20" s="201"/>
      <c r="XFD20" s="33">
        <v>1</v>
      </c>
    </row>
    <row r="21" spans="1:69 16384:16384" hidden="1" x14ac:dyDescent="0.55000000000000004">
      <c r="A21" s="33" t="str">
        <f>IF(G21="VZ","",I21&amp;COUNTIF($I$4:I20,I21)+1)&amp;IF(K21&gt;0,"-N","")</f>
        <v>13</v>
      </c>
      <c r="B21" s="29">
        <f>+Matrizes!B22</f>
        <v>0</v>
      </c>
      <c r="C21" s="94">
        <f>+Matrizes!C22</f>
        <v>880</v>
      </c>
      <c r="D21" s="132">
        <f>+Matrizes!E22</f>
        <v>44821</v>
      </c>
      <c r="E21" s="94">
        <f>+Matrizes!G22</f>
        <v>12</v>
      </c>
      <c r="F21" s="133">
        <f>IFERROR(+Matrizes!H22,"")</f>
        <v>14.875</v>
      </c>
      <c r="G21" s="134"/>
      <c r="H21" s="132" t="str">
        <f t="shared" si="3"/>
        <v/>
      </c>
      <c r="I21" s="135" t="str">
        <f t="shared" si="4"/>
        <v/>
      </c>
      <c r="J21" s="79"/>
      <c r="K21" s="195"/>
      <c r="L21" s="79"/>
      <c r="M21" s="79" t="s">
        <v>1071</v>
      </c>
      <c r="N21" s="201"/>
      <c r="XFD21" s="33">
        <v>1</v>
      </c>
    </row>
    <row r="22" spans="1:69 16384:16384" hidden="1" x14ac:dyDescent="0.55000000000000004">
      <c r="A22" s="33" t="str">
        <f>IF(G22="VZ","",I22&amp;COUNTIF($I$4:I21,I22)+1)&amp;IF(K22&gt;0,"-N","")</f>
        <v>14</v>
      </c>
      <c r="B22" s="29">
        <f>+Matrizes!B23</f>
        <v>0</v>
      </c>
      <c r="C22" s="94">
        <f>+Matrizes!C23</f>
        <v>881</v>
      </c>
      <c r="D22" s="132">
        <f>+Matrizes!E23</f>
        <v>45684</v>
      </c>
      <c r="E22" s="94">
        <f>+Matrizes!G23</f>
        <v>15</v>
      </c>
      <c r="F22" s="133">
        <f>IFERROR(+Matrizes!H23,"")</f>
        <v>13.813333333333333</v>
      </c>
      <c r="G22" s="134"/>
      <c r="H22" s="132" t="str">
        <f t="shared" si="3"/>
        <v/>
      </c>
      <c r="I22" s="135" t="str">
        <f t="shared" si="4"/>
        <v/>
      </c>
      <c r="J22" s="79"/>
      <c r="K22" s="79"/>
      <c r="L22" s="79"/>
      <c r="M22" s="79"/>
      <c r="N22" s="201"/>
    </row>
    <row r="23" spans="1:69 16384:16384" hidden="1" x14ac:dyDescent="0.55000000000000004">
      <c r="A23" s="33" t="str">
        <f>IF(G23="VZ","",I23&amp;COUNTIF($I$4:I22,I23)+1)&amp;IF(K23&gt;0,"-N","")</f>
        <v>15</v>
      </c>
      <c r="B23" s="29">
        <f>+Matrizes!B24</f>
        <v>0</v>
      </c>
      <c r="C23" s="94">
        <f>+Matrizes!C24</f>
        <v>882</v>
      </c>
      <c r="D23" s="132">
        <f>+Matrizes!E24</f>
        <v>44287</v>
      </c>
      <c r="E23" s="94">
        <f>+Matrizes!G24</f>
        <v>11</v>
      </c>
      <c r="F23" s="133">
        <f>IFERROR(+Matrizes!H24,"")</f>
        <v>14.975757575757575</v>
      </c>
      <c r="G23" s="134"/>
      <c r="H23" s="132" t="str">
        <f t="shared" si="3"/>
        <v/>
      </c>
      <c r="I23" s="135" t="str">
        <f t="shared" si="4"/>
        <v/>
      </c>
      <c r="J23" s="79"/>
      <c r="K23" s="195"/>
      <c r="L23" s="79"/>
      <c r="M23" s="79" t="s">
        <v>1071</v>
      </c>
      <c r="N23" s="201"/>
      <c r="XFD23" s="33">
        <v>1</v>
      </c>
    </row>
    <row r="24" spans="1:69 16384:16384" hidden="1" x14ac:dyDescent="0.55000000000000004">
      <c r="A24" s="33" t="str">
        <f>IF(G24="VZ","",I24&amp;COUNTIF($I$4:I23,I24)+1)&amp;IF(K24&gt;0,"-N","")</f>
        <v>16</v>
      </c>
      <c r="B24" s="29">
        <f>+Matrizes!B25</f>
        <v>0</v>
      </c>
      <c r="C24" s="94">
        <f>+Matrizes!C25</f>
        <v>884</v>
      </c>
      <c r="D24" s="132">
        <f>+Matrizes!E25</f>
        <v>44939</v>
      </c>
      <c r="E24" s="94">
        <f>+Matrizes!G25</f>
        <v>12</v>
      </c>
      <c r="F24" s="133">
        <f>IFERROR(+Matrizes!H25,"")</f>
        <v>14.919444444444444</v>
      </c>
      <c r="G24" s="134"/>
      <c r="H24" s="132" t="str">
        <f t="shared" si="3"/>
        <v/>
      </c>
      <c r="I24" s="135" t="str">
        <f t="shared" si="4"/>
        <v/>
      </c>
      <c r="J24" s="79"/>
      <c r="K24" s="195"/>
      <c r="L24" s="79"/>
      <c r="M24" s="79" t="s">
        <v>1071</v>
      </c>
      <c r="N24" s="201"/>
      <c r="XFD24" s="33">
        <v>1</v>
      </c>
    </row>
    <row r="25" spans="1:69 16384:16384" hidden="1" x14ac:dyDescent="0.55000000000000004">
      <c r="A25" s="33" t="str">
        <f>IF(G25="VZ","",I25&amp;COUNTIF($I$4:I24,I25)+1)&amp;IF(K25&gt;0,"-N","")</f>
        <v>17</v>
      </c>
      <c r="B25" s="29">
        <f>+Matrizes!B26</f>
        <v>0</v>
      </c>
      <c r="C25" s="94">
        <f>+Matrizes!C26</f>
        <v>885</v>
      </c>
      <c r="D25" s="132">
        <f>+Matrizes!E26</f>
        <v>44894</v>
      </c>
      <c r="E25" s="94">
        <f>+Matrizes!G26</f>
        <v>12</v>
      </c>
      <c r="F25" s="133">
        <f>IFERROR(+Matrizes!H26,"")</f>
        <v>14.85</v>
      </c>
      <c r="G25" s="134"/>
      <c r="H25" s="132" t="str">
        <f t="shared" si="3"/>
        <v/>
      </c>
      <c r="I25" s="135" t="str">
        <f t="shared" si="4"/>
        <v/>
      </c>
      <c r="J25" s="79"/>
      <c r="K25" s="195"/>
      <c r="L25" s="79"/>
      <c r="M25" s="79" t="s">
        <v>1071</v>
      </c>
      <c r="N25" s="201"/>
      <c r="XFD25" s="33">
        <v>1</v>
      </c>
    </row>
    <row r="26" spans="1:69 16384:16384" hidden="1" x14ac:dyDescent="0.55000000000000004">
      <c r="A26" s="33" t="str">
        <f>IF(G26="VZ","",I26&amp;COUNTIF($I$4:I25,I26)+1)&amp;IF(K26&gt;0,"-N","")</f>
        <v>18</v>
      </c>
      <c r="B26" s="29">
        <f>+Matrizes!B27</f>
        <v>0</v>
      </c>
      <c r="C26" s="94">
        <f>+Matrizes!C27</f>
        <v>886</v>
      </c>
      <c r="D26" s="132">
        <f>+Matrizes!E27</f>
        <v>45404</v>
      </c>
      <c r="E26" s="94">
        <f>+Matrizes!G27</f>
        <v>14</v>
      </c>
      <c r="F26" s="133">
        <f>IFERROR(+Matrizes!H27,"")</f>
        <v>14.130952380952381</v>
      </c>
      <c r="G26" s="134"/>
      <c r="H26" s="132" t="str">
        <f t="shared" si="3"/>
        <v/>
      </c>
      <c r="I26" s="135" t="str">
        <f t="shared" si="4"/>
        <v/>
      </c>
      <c r="J26" s="79"/>
      <c r="K26" s="79"/>
      <c r="L26" s="79"/>
      <c r="M26" s="79"/>
      <c r="N26" s="201"/>
    </row>
    <row r="27" spans="1:69 16384:16384" hidden="1" x14ac:dyDescent="0.55000000000000004">
      <c r="A27" s="33" t="str">
        <f>IF(G27="VZ","",I27&amp;COUNTIF($I$4:I26,I27)+1)&amp;IF(K27&gt;0,"-N","")</f>
        <v>19</v>
      </c>
      <c r="B27" s="29">
        <f>+Matrizes!B28</f>
        <v>0</v>
      </c>
      <c r="C27" s="94">
        <f>+Matrizes!C28</f>
        <v>889</v>
      </c>
      <c r="D27" s="132">
        <f>+Matrizes!E28</f>
        <v>44860</v>
      </c>
      <c r="E27" s="94">
        <f>+Matrizes!G28</f>
        <v>12</v>
      </c>
      <c r="F27" s="133">
        <f>IFERROR(+Matrizes!H28,"")</f>
        <v>15.194444444444445</v>
      </c>
      <c r="G27" s="134"/>
      <c r="H27" s="132" t="str">
        <f t="shared" si="3"/>
        <v/>
      </c>
      <c r="I27" s="135" t="str">
        <f t="shared" si="4"/>
        <v/>
      </c>
      <c r="J27" s="79"/>
      <c r="K27" s="195"/>
      <c r="L27" s="79"/>
      <c r="M27" s="79" t="s">
        <v>1094</v>
      </c>
      <c r="N27" s="201"/>
      <c r="XFD27" s="33">
        <v>1</v>
      </c>
    </row>
    <row r="28" spans="1:69 16384:16384" x14ac:dyDescent="0.55000000000000004">
      <c r="A28" s="33" t="str">
        <f>IF(G28="VZ","",I28&amp;COUNTIF($I$4:I27,I28)+1)&amp;IF(K28&gt;0,"-N","")</f>
        <v>-N</v>
      </c>
      <c r="B28" s="29">
        <f>+Matrizes!B29</f>
        <v>5</v>
      </c>
      <c r="C28" s="94">
        <f>+Matrizes!C29</f>
        <v>893</v>
      </c>
      <c r="D28" s="132">
        <f>+Matrizes!E29</f>
        <v>45835</v>
      </c>
      <c r="E28" s="94">
        <f>+Matrizes!G29</f>
        <v>12</v>
      </c>
      <c r="F28" s="133">
        <f>IFERROR(+Matrizes!H29,"")</f>
        <v>17.138888888888889</v>
      </c>
      <c r="G28" s="134" t="s">
        <v>1160</v>
      </c>
      <c r="H28" s="132" t="str">
        <f t="shared" si="3"/>
        <v>xxxxx</v>
      </c>
      <c r="I28" s="135" t="str">
        <f t="shared" si="4"/>
        <v>xxxxx</v>
      </c>
      <c r="J28" s="79"/>
      <c r="K28" s="195" t="s">
        <v>1208</v>
      </c>
      <c r="L28" s="79"/>
      <c r="M28" s="79"/>
      <c r="N28" s="201"/>
    </row>
    <row r="29" spans="1:69 16384:16384" hidden="1" x14ac:dyDescent="0.55000000000000004">
      <c r="A29" s="33" t="str">
        <f>IF(G29="VZ","",I29&amp;COUNTIF($I$4:I28,I29)+1)&amp;IF(K29&gt;0,"-N","")</f>
        <v>20</v>
      </c>
      <c r="B29" s="29">
        <f>+Matrizes!B30</f>
        <v>0</v>
      </c>
      <c r="C29" s="94">
        <f>+Matrizes!C30</f>
        <v>894</v>
      </c>
      <c r="D29" s="132">
        <f>+Matrizes!E30</f>
        <v>45792</v>
      </c>
      <c r="E29" s="94">
        <f>+Matrizes!G30</f>
        <v>13</v>
      </c>
      <c r="F29" s="133">
        <f>IFERROR(+Matrizes!H30,"")</f>
        <v>15.979487179487178</v>
      </c>
      <c r="G29" s="134"/>
      <c r="H29" s="132" t="str">
        <f t="shared" si="3"/>
        <v/>
      </c>
      <c r="I29" s="135" t="str">
        <f t="shared" si="4"/>
        <v/>
      </c>
      <c r="J29" s="79"/>
      <c r="K29" s="195"/>
      <c r="L29" s="79"/>
      <c r="M29" s="79"/>
      <c r="N29" s="201"/>
    </row>
    <row r="30" spans="1:69 16384:16384" hidden="1" x14ac:dyDescent="0.55000000000000004">
      <c r="A30" s="33" t="str">
        <f>IF(G30="VZ","",I30&amp;COUNTIF($I$4:I29,I30)+1)&amp;IF(K30&gt;0,"-N","")</f>
        <v>21</v>
      </c>
      <c r="B30" s="29">
        <f>+Matrizes!B31</f>
        <v>0</v>
      </c>
      <c r="C30" s="94">
        <f>+Matrizes!C31</f>
        <v>896</v>
      </c>
      <c r="D30" s="132">
        <f>+Matrizes!E31</f>
        <v>43476</v>
      </c>
      <c r="E30" s="94">
        <f>+Matrizes!G31</f>
        <v>9</v>
      </c>
      <c r="F30" s="133">
        <f>IFERROR(+Matrizes!H31,"")</f>
        <v>14.385185185185186</v>
      </c>
      <c r="G30" s="134"/>
      <c r="H30" s="132" t="str">
        <f t="shared" si="3"/>
        <v/>
      </c>
      <c r="I30" s="135" t="str">
        <f>IFERROR(IF(G30&gt;0,IF(DAY(+$D$2-G30+285)&lt;=15,TEXT(+$D$2-G30+285-20,"Mmm")&amp;"-"&amp;TEXT(+$D$2-G30+285,"mmm"),TEXT(+$D$2-G30+285,"Mmm")&amp;"-"&amp;TEXT(+$D$2-G30+285+20,"mmm")),""),"xxxxx")</f>
        <v/>
      </c>
      <c r="J30" s="79"/>
      <c r="K30" s="195"/>
      <c r="L30" s="79"/>
      <c r="M30" s="79"/>
      <c r="N30" s="201"/>
    </row>
    <row r="31" spans="1:69 16384:16384" hidden="1" x14ac:dyDescent="0.55000000000000004">
      <c r="A31" s="33" t="str">
        <f>IF(G31="VZ","",I31&amp;COUNTIF($I$4:I30,I31)+1)&amp;IF(K31&gt;0,"-N","")</f>
        <v>22</v>
      </c>
      <c r="B31" s="29">
        <f>+Matrizes!B32</f>
        <v>0</v>
      </c>
      <c r="C31" s="94">
        <f>+Matrizes!C32</f>
        <v>897</v>
      </c>
      <c r="D31" s="132">
        <f>+Matrizes!E32</f>
        <v>43692</v>
      </c>
      <c r="E31" s="94">
        <f>+Matrizes!G32</f>
        <v>10</v>
      </c>
      <c r="F31" s="133">
        <f>IFERROR(+Matrizes!H32,"")</f>
        <v>14.076666666666668</v>
      </c>
      <c r="G31" s="134"/>
      <c r="H31" s="132" t="str">
        <f t="shared" ref="H31:H67" si="5">IFERROR(IF(G31&gt;0,+$D$2-G31+285,""),"xxxxx")</f>
        <v/>
      </c>
      <c r="I31" s="135" t="str">
        <f>IFERROR(IF(G31&gt;0,IF(DAY(+$D$2-G31+285)&lt;=15,TEXT(+$D$2-G31+285-20,"Mmm")&amp;"-"&amp;TEXT(+$D$2-G31+285,"mmm"),TEXT(+$D$2-G31+285,"Mmm")&amp;"-"&amp;TEXT(+$D$2-G31+285+20,"mmm")),""),"xxxxx")</f>
        <v/>
      </c>
      <c r="J31" s="79"/>
      <c r="K31" s="195"/>
      <c r="L31" s="79"/>
      <c r="M31" s="79"/>
      <c r="N31" s="201"/>
    </row>
    <row r="32" spans="1:69 16384:16384" hidden="1" x14ac:dyDescent="0.55000000000000004">
      <c r="A32" s="33" t="str">
        <f>IF(G32="VZ","",I32&amp;COUNTIF($I$4:I31,I32)+1)&amp;IF(K32&gt;0,"-N","")</f>
        <v>23</v>
      </c>
      <c r="B32" s="29">
        <f>+Matrizes!B33</f>
        <v>0</v>
      </c>
      <c r="C32" s="94">
        <f>+Matrizes!C33</f>
        <v>898</v>
      </c>
      <c r="D32" s="132">
        <f>+Matrizes!E33</f>
        <v>44431</v>
      </c>
      <c r="E32" s="94">
        <f>+Matrizes!G33</f>
        <v>12</v>
      </c>
      <c r="F32" s="133">
        <f>IFERROR(+Matrizes!H33,"")</f>
        <v>13.68611111111111</v>
      </c>
      <c r="G32" s="134"/>
      <c r="H32" s="132" t="str">
        <f t="shared" si="5"/>
        <v/>
      </c>
      <c r="I32" s="135" t="str">
        <f t="shared" ref="I32:I42" si="6">IFERROR(IF(G32&gt;0,IF(DAY(+$D$2-G32+285)&lt;=15,TEXT(+$D$2-G32+285-20,"Mmm")&amp;"-"&amp;TEXT(+$D$2-G32+285,"mmm"),TEXT(+$D$2-G32+285,"Mmm")&amp;"-"&amp;TEXT(+$D$2-G32+285+20,"mmm")),""),"xxxxx")</f>
        <v/>
      </c>
      <c r="J32" s="79"/>
      <c r="K32" s="195"/>
      <c r="L32" s="79"/>
      <c r="M32" s="79" t="s">
        <v>1071</v>
      </c>
      <c r="N32" s="201"/>
      <c r="XFD32" s="33">
        <v>1</v>
      </c>
    </row>
    <row r="33" spans="1:14" hidden="1" x14ac:dyDescent="0.55000000000000004">
      <c r="A33" s="33" t="str">
        <f>IF(G33="VZ","",I33&amp;COUNTIF($I$4:I32,I33)+1)&amp;IF(K33&gt;0,"-N","")</f>
        <v>24</v>
      </c>
      <c r="B33" s="29">
        <f>+Matrizes!B34</f>
        <v>0</v>
      </c>
      <c r="C33" s="94">
        <f>+Matrizes!C34</f>
        <v>899</v>
      </c>
      <c r="D33" s="132">
        <f>+Matrizes!E34</f>
        <v>45881</v>
      </c>
      <c r="E33" s="94">
        <f>+Matrizes!G34</f>
        <v>14</v>
      </c>
      <c r="F33" s="133">
        <f>IFERROR(+Matrizes!H34,"")</f>
        <v>14.740476190476191</v>
      </c>
      <c r="G33" s="134"/>
      <c r="H33" s="132" t="str">
        <f t="shared" si="5"/>
        <v/>
      </c>
      <c r="I33" s="135" t="str">
        <f t="shared" si="6"/>
        <v/>
      </c>
      <c r="J33" s="79"/>
      <c r="K33" s="195"/>
      <c r="L33" s="79" t="s">
        <v>878</v>
      </c>
      <c r="M33" s="79"/>
      <c r="N33" s="201"/>
    </row>
    <row r="34" spans="1:14" hidden="1" x14ac:dyDescent="0.55000000000000004">
      <c r="A34" s="33" t="str">
        <f>IF(G34="VZ","",I34&amp;COUNTIF($I$4:I33,I34)+1)&amp;IF(K34&gt;0,"-N","")</f>
        <v>25</v>
      </c>
      <c r="B34" s="29">
        <f>+Matrizes!B35</f>
        <v>0</v>
      </c>
      <c r="C34" s="94">
        <f>+Matrizes!C35</f>
        <v>926</v>
      </c>
      <c r="D34" s="132">
        <f>+Matrizes!E35</f>
        <v>45628</v>
      </c>
      <c r="E34" s="94">
        <f>+Matrizes!G35</f>
        <v>14</v>
      </c>
      <c r="F34" s="133">
        <f>IFERROR(+Matrizes!H35,"")</f>
        <v>14.466666666666667</v>
      </c>
      <c r="G34" s="134"/>
      <c r="H34" s="132" t="str">
        <f t="shared" si="5"/>
        <v/>
      </c>
      <c r="I34" s="135" t="str">
        <f t="shared" si="6"/>
        <v/>
      </c>
      <c r="J34" s="79"/>
      <c r="K34" s="79"/>
      <c r="L34" s="79"/>
      <c r="M34" s="79"/>
      <c r="N34" s="201"/>
    </row>
    <row r="35" spans="1:14" hidden="1" x14ac:dyDescent="0.55000000000000004">
      <c r="A35" s="33" t="str">
        <f>IF(G35="VZ","",I35&amp;COUNTIF($I$4:I34,I35)+1)&amp;IF(K35&gt;0,"-N","")</f>
        <v>26</v>
      </c>
      <c r="B35" s="29">
        <f>+Matrizes!B36</f>
        <v>0</v>
      </c>
      <c r="C35" s="94">
        <f>+Matrizes!C36</f>
        <v>930</v>
      </c>
      <c r="D35" s="132">
        <f>+Matrizes!E36</f>
        <v>45991</v>
      </c>
      <c r="E35" s="94">
        <f>+Matrizes!G36</f>
        <v>13</v>
      </c>
      <c r="F35" s="133">
        <f>IFERROR(+Matrizes!H36,"")</f>
        <v>15.964102564102564</v>
      </c>
      <c r="G35" s="134"/>
      <c r="H35" s="132" t="str">
        <f t="shared" si="5"/>
        <v/>
      </c>
      <c r="I35" s="135" t="str">
        <f t="shared" si="6"/>
        <v/>
      </c>
      <c r="J35" s="79"/>
      <c r="K35" s="195"/>
      <c r="L35" s="79" t="s">
        <v>12</v>
      </c>
      <c r="M35" s="79">
        <v>1149</v>
      </c>
      <c r="N35" s="201"/>
    </row>
    <row r="36" spans="1:14" x14ac:dyDescent="0.55000000000000004">
      <c r="A36" s="33" t="str">
        <f>IF(G36="VZ","",I36&amp;COUNTIF($I$4:I35,I36)+1)&amp;IF(K36&gt;0,"-N","")</f>
        <v>mar-abr2</v>
      </c>
      <c r="B36" s="29">
        <f>+Matrizes!B37</f>
        <v>6</v>
      </c>
      <c r="C36" s="94">
        <f>+Matrizes!C37</f>
        <v>931</v>
      </c>
      <c r="D36" s="132">
        <f>+Matrizes!E37</f>
        <v>45393</v>
      </c>
      <c r="E36" s="94">
        <f>+Matrizes!G37</f>
        <v>12</v>
      </c>
      <c r="F36" s="133">
        <f>IFERROR(+Matrizes!H37,"")</f>
        <v>15.575000000000001</v>
      </c>
      <c r="G36" s="134">
        <v>150</v>
      </c>
      <c r="H36" s="132">
        <f t="shared" si="5"/>
        <v>46109</v>
      </c>
      <c r="I36" s="135" t="str">
        <f t="shared" si="6"/>
        <v>mar-abr</v>
      </c>
      <c r="J36" s="79"/>
      <c r="K36" s="79"/>
      <c r="L36" s="79"/>
      <c r="M36" s="79"/>
      <c r="N36" s="201"/>
    </row>
    <row r="37" spans="1:14" hidden="1" x14ac:dyDescent="0.55000000000000004">
      <c r="A37" s="33" t="str">
        <f>IF(G37="VZ","",I37&amp;COUNTIF($I$4:I36,I37)+1)&amp;IF(K37&gt;0,"-N","")</f>
        <v>27</v>
      </c>
      <c r="B37" s="29">
        <f>+Matrizes!B38</f>
        <v>0</v>
      </c>
      <c r="C37" s="94">
        <f>+Matrizes!C38</f>
        <v>933</v>
      </c>
      <c r="D37" s="132">
        <f>+Matrizes!E38</f>
        <v>45174</v>
      </c>
      <c r="E37" s="94">
        <f>+Matrizes!G38</f>
        <v>14</v>
      </c>
      <c r="F37" s="133">
        <f>IFERROR(+Matrizes!H38,"")</f>
        <v>12.859523809523809</v>
      </c>
      <c r="G37" s="134"/>
      <c r="H37" s="132" t="str">
        <f t="shared" si="5"/>
        <v/>
      </c>
      <c r="I37" s="135" t="str">
        <f t="shared" si="6"/>
        <v/>
      </c>
      <c r="J37" s="79"/>
      <c r="K37" s="195"/>
      <c r="L37" s="79"/>
      <c r="M37" s="79"/>
      <c r="N37" s="201"/>
    </row>
    <row r="38" spans="1:14" hidden="1" x14ac:dyDescent="0.55000000000000004">
      <c r="A38" s="33" t="str">
        <f>IF(G38="VZ","",I38&amp;COUNTIF($I$4:I37,I38)+1)&amp;IF(K38&gt;0,"-N","")</f>
        <v>28</v>
      </c>
      <c r="B38" s="29">
        <f>+Matrizes!B39</f>
        <v>0</v>
      </c>
      <c r="C38" s="94">
        <f>+Matrizes!C39</f>
        <v>934</v>
      </c>
      <c r="D38" s="132">
        <f>+Matrizes!E39</f>
        <v>45953</v>
      </c>
      <c r="E38" s="94">
        <f>+Matrizes!G39</f>
        <v>13</v>
      </c>
      <c r="F38" s="133">
        <f>IFERROR(+Matrizes!H39,"")</f>
        <v>15.843589743589744</v>
      </c>
      <c r="G38" s="134"/>
      <c r="H38" s="132" t="str">
        <f t="shared" si="5"/>
        <v/>
      </c>
      <c r="I38" s="135" t="str">
        <f t="shared" si="6"/>
        <v/>
      </c>
      <c r="J38" s="79"/>
      <c r="K38" s="195"/>
      <c r="L38" s="79" t="s">
        <v>12</v>
      </c>
      <c r="M38" s="79">
        <v>1043</v>
      </c>
      <c r="N38" s="201"/>
    </row>
    <row r="39" spans="1:14" hidden="1" x14ac:dyDescent="0.55000000000000004">
      <c r="A39" s="33" t="str">
        <f>IF(G39="VZ","",I39&amp;COUNTIF($I$4:I38,I39)+1)&amp;IF(K39&gt;0,"-N","")</f>
        <v>29</v>
      </c>
      <c r="B39" s="29">
        <f>+Matrizes!B40</f>
        <v>0</v>
      </c>
      <c r="C39" s="94">
        <f>+Matrizes!C40</f>
        <v>936</v>
      </c>
      <c r="D39" s="132">
        <f>+Matrizes!E40</f>
        <v>44993</v>
      </c>
      <c r="E39" s="94">
        <f>+Matrizes!G40</f>
        <v>12</v>
      </c>
      <c r="F39" s="133">
        <f>IFERROR(+Matrizes!H40,"")</f>
        <v>14.508333333333333</v>
      </c>
      <c r="G39" s="134"/>
      <c r="H39" s="132" t="str">
        <f t="shared" si="5"/>
        <v/>
      </c>
      <c r="I39" s="135" t="str">
        <f t="shared" si="6"/>
        <v/>
      </c>
      <c r="J39" s="79"/>
      <c r="K39" s="79"/>
      <c r="L39" s="79"/>
      <c r="M39" s="79"/>
      <c r="N39" s="201"/>
    </row>
    <row r="40" spans="1:14" hidden="1" x14ac:dyDescent="0.55000000000000004">
      <c r="A40" s="33" t="str">
        <f>IF(G40="VZ","",I40&amp;COUNTIF($I$4:I39,I40)+1)&amp;IF(K40&gt;0,"-N","")</f>
        <v>30</v>
      </c>
      <c r="B40" s="29">
        <f>+Matrizes!B41</f>
        <v>0</v>
      </c>
      <c r="C40" s="94">
        <f>+Matrizes!C41</f>
        <v>939</v>
      </c>
      <c r="D40" s="132">
        <f>+Matrizes!E41</f>
        <v>45642</v>
      </c>
      <c r="E40" s="94">
        <f>+Matrizes!G41</f>
        <v>12</v>
      </c>
      <c r="F40" s="133">
        <f>IFERROR(+Matrizes!H41,"")</f>
        <v>16.230555555555558</v>
      </c>
      <c r="G40" s="134"/>
      <c r="H40" s="132" t="str">
        <f t="shared" si="5"/>
        <v/>
      </c>
      <c r="I40" s="135" t="str">
        <f t="shared" si="6"/>
        <v/>
      </c>
      <c r="J40" s="79"/>
      <c r="K40" s="79"/>
      <c r="L40" s="79"/>
      <c r="M40" s="79"/>
      <c r="N40" s="201"/>
    </row>
    <row r="41" spans="1:14" hidden="1" x14ac:dyDescent="0.55000000000000004">
      <c r="A41" s="33" t="str">
        <f>IF(G41="VZ","",I41&amp;COUNTIF($I$4:I40,I41)+1)&amp;IF(K41&gt;0,"-N","")</f>
        <v>31</v>
      </c>
      <c r="B41" s="29">
        <f>+Matrizes!B42</f>
        <v>0</v>
      </c>
      <c r="C41" s="94">
        <f>+Matrizes!C42</f>
        <v>942</v>
      </c>
      <c r="D41" s="132">
        <f>+Matrizes!E42</f>
        <v>43858</v>
      </c>
      <c r="E41" s="94">
        <f>+Matrizes!G42</f>
        <v>9</v>
      </c>
      <c r="F41" s="133">
        <f>IFERROR(+Matrizes!H42,"")</f>
        <v>15.155555555555557</v>
      </c>
      <c r="G41" s="134"/>
      <c r="H41" s="132"/>
      <c r="I41" s="135" t="str">
        <f t="shared" si="6"/>
        <v/>
      </c>
      <c r="J41" s="79"/>
      <c r="K41" s="195"/>
      <c r="L41" s="197"/>
      <c r="M41" s="79"/>
      <c r="N41" s="201"/>
    </row>
    <row r="42" spans="1:14" hidden="1" x14ac:dyDescent="0.55000000000000004">
      <c r="A42" s="33" t="str">
        <f>IF(G42="VZ","",I42&amp;COUNTIF($I$4:I41,I42)+1)&amp;IF(K42&gt;0,"-N","")</f>
        <v>32</v>
      </c>
      <c r="B42" s="29">
        <f>+Matrizes!B43</f>
        <v>0</v>
      </c>
      <c r="C42" s="94">
        <f>+Matrizes!C43</f>
        <v>943</v>
      </c>
      <c r="D42" s="132">
        <f>+Matrizes!E43</f>
        <v>45700</v>
      </c>
      <c r="E42" s="94">
        <f>+Matrizes!G43</f>
        <v>14</v>
      </c>
      <c r="F42" s="133">
        <f>IFERROR(+Matrizes!H43,"")</f>
        <v>14.095238095238097</v>
      </c>
      <c r="G42" s="134"/>
      <c r="H42" s="132" t="str">
        <f t="shared" ref="H42" si="7">IFERROR(IF(G42&gt;0,+$D$2-G42+285,""),"xxxxx")</f>
        <v/>
      </c>
      <c r="I42" s="135" t="str">
        <f t="shared" si="6"/>
        <v/>
      </c>
      <c r="J42" s="79"/>
      <c r="K42" s="79"/>
      <c r="L42" s="79"/>
      <c r="M42" s="79"/>
      <c r="N42" s="201"/>
    </row>
    <row r="43" spans="1:14" hidden="1" x14ac:dyDescent="0.55000000000000004">
      <c r="A43" s="33" t="str">
        <f>IF(G43="VZ","",I43&amp;COUNTIF($I$4:I42,I43)+1)&amp;IF(K43&gt;0,"-N","")</f>
        <v>33</v>
      </c>
      <c r="B43" s="29">
        <f>+Matrizes!B44</f>
        <v>0</v>
      </c>
      <c r="C43" s="94">
        <f>+Matrizes!C44</f>
        <v>944</v>
      </c>
      <c r="D43" s="132">
        <f>+Matrizes!E44</f>
        <v>44107</v>
      </c>
      <c r="E43" s="94">
        <f>+Matrizes!G44</f>
        <v>10</v>
      </c>
      <c r="F43" s="133">
        <f>IFERROR(+Matrizes!H44,"")</f>
        <v>14.433333333333334</v>
      </c>
      <c r="G43" s="134"/>
      <c r="H43" s="132" t="str">
        <f t="shared" si="5"/>
        <v/>
      </c>
      <c r="I43" s="135" t="str">
        <f>IFERROR(IF(G43&gt;0,IF(DAY(+$D$2-G43+285)&lt;=15,TEXT(+$D$2-G43+285-20,"Mmm")&amp;"-"&amp;TEXT(+$D$2-G43+285,"mmm"),TEXT(+$D$2-G43+285,"Mmm")&amp;"-"&amp;TEXT(+$D$2-G43+285+20,"mmm")),""),"xxxxx")</f>
        <v/>
      </c>
      <c r="J43" s="79"/>
      <c r="K43" s="195"/>
      <c r="L43" s="79"/>
      <c r="M43" s="79"/>
      <c r="N43" s="201"/>
    </row>
    <row r="44" spans="1:14" hidden="1" x14ac:dyDescent="0.55000000000000004">
      <c r="A44" s="33" t="str">
        <f>IF(G44="VZ","",I44&amp;COUNTIF($I$4:I43,I44)+1)&amp;IF(K44&gt;0,"-N","")</f>
        <v>34</v>
      </c>
      <c r="B44" s="29">
        <f>+Matrizes!B45</f>
        <v>0</v>
      </c>
      <c r="C44" s="94">
        <f>+Matrizes!C45</f>
        <v>945</v>
      </c>
      <c r="D44" s="132">
        <v>44951</v>
      </c>
      <c r="E44" s="94">
        <f>+Matrizes!G45</f>
        <v>13</v>
      </c>
      <c r="F44" s="133">
        <f>IFERROR(+Matrizes!H45,"")</f>
        <v>14.912820512820513</v>
      </c>
      <c r="G44" s="134"/>
      <c r="H44" s="132" t="str">
        <f t="shared" si="5"/>
        <v/>
      </c>
      <c r="I44" s="135" t="str">
        <f t="shared" ref="I44:I56" si="8">IFERROR(IF(G44&gt;0,IF(DAY(+$D$2-G44+285)&lt;=15,TEXT(+$D$2-G44+285-20,"Mmm")&amp;"-"&amp;TEXT(+$D$2-G44+285,"mmm"),TEXT(+$D$2-G44+285,"Mmm")&amp;"-"&amp;TEXT(+$D$2-G44+285+20,"mmm")),""),"xxxxx")</f>
        <v/>
      </c>
      <c r="J44" s="79"/>
      <c r="K44" s="79"/>
      <c r="L44" s="79"/>
      <c r="M44" s="79"/>
      <c r="N44" s="201"/>
    </row>
    <row r="45" spans="1:14" hidden="1" x14ac:dyDescent="0.55000000000000004">
      <c r="A45" s="33" t="str">
        <f>IF(G45="VZ","",I45&amp;COUNTIF($I$4:I44,I45)+1)&amp;IF(K45&gt;0,"-N","")</f>
        <v>35</v>
      </c>
      <c r="B45" s="29">
        <f>+Matrizes!B46</f>
        <v>0</v>
      </c>
      <c r="C45" s="94">
        <f>+Matrizes!C46</f>
        <v>946</v>
      </c>
      <c r="D45" s="132">
        <f>+Matrizes!E46</f>
        <v>45461</v>
      </c>
      <c r="E45" s="94">
        <f>+Matrizes!G46</f>
        <v>13</v>
      </c>
      <c r="F45" s="133">
        <f>IFERROR(+Matrizes!H46,"")</f>
        <v>14.607692307692307</v>
      </c>
      <c r="G45" s="134"/>
      <c r="H45" s="132" t="str">
        <f t="shared" si="5"/>
        <v/>
      </c>
      <c r="I45" s="135" t="str">
        <f t="shared" si="8"/>
        <v/>
      </c>
      <c r="J45" s="79"/>
      <c r="K45" s="79"/>
      <c r="L45" s="79"/>
      <c r="M45" s="79"/>
      <c r="N45" s="201"/>
    </row>
    <row r="46" spans="1:14" hidden="1" x14ac:dyDescent="0.55000000000000004">
      <c r="A46" s="33" t="str">
        <f>IF(G46="VZ","",I46&amp;COUNTIF($I$4:I45,I46)+1)&amp;IF(K46&gt;0,"-N","")</f>
        <v>36</v>
      </c>
      <c r="B46" s="29">
        <f>+Matrizes!B47</f>
        <v>0</v>
      </c>
      <c r="C46" s="94">
        <f>+Matrizes!C47</f>
        <v>947</v>
      </c>
      <c r="D46" s="132">
        <f>+Matrizes!E47</f>
        <v>45289</v>
      </c>
      <c r="E46" s="94">
        <f>+Matrizes!G47</f>
        <v>12</v>
      </c>
      <c r="F46" s="133">
        <f>IFERROR(+Matrizes!H47,"")</f>
        <v>15.31388888888889</v>
      </c>
      <c r="G46" s="134"/>
      <c r="H46" s="132" t="str">
        <f t="shared" si="5"/>
        <v/>
      </c>
      <c r="I46" s="135" t="str">
        <f t="shared" si="8"/>
        <v/>
      </c>
      <c r="J46" s="79"/>
      <c r="K46" s="195"/>
      <c r="L46" s="79"/>
      <c r="M46" s="79"/>
      <c r="N46" s="201"/>
    </row>
    <row r="47" spans="1:14" hidden="1" x14ac:dyDescent="0.55000000000000004">
      <c r="A47" s="33" t="str">
        <f>IF(G47="VZ","",I47&amp;COUNTIF($I$4:I46,I47)+1)&amp;IF(K47&gt;0,"-N","")</f>
        <v>37</v>
      </c>
      <c r="B47" s="29">
        <f>+Matrizes!B48</f>
        <v>0</v>
      </c>
      <c r="C47" s="94">
        <f>+Matrizes!C48</f>
        <v>949</v>
      </c>
      <c r="D47" s="132">
        <f>+Matrizes!E48</f>
        <v>44152</v>
      </c>
      <c r="E47" s="94">
        <f>+Matrizes!G48</f>
        <v>10</v>
      </c>
      <c r="F47" s="133">
        <f>IFERROR(+Matrizes!H48,"")</f>
        <v>14.586666666666668</v>
      </c>
      <c r="G47" s="134"/>
      <c r="H47" s="132" t="str">
        <f t="shared" si="5"/>
        <v/>
      </c>
      <c r="I47" s="135" t="str">
        <f t="shared" si="8"/>
        <v/>
      </c>
      <c r="J47" s="79"/>
      <c r="K47" s="195"/>
      <c r="L47" s="79"/>
      <c r="M47" s="79"/>
      <c r="N47" s="201"/>
    </row>
    <row r="48" spans="1:14" hidden="1" x14ac:dyDescent="0.55000000000000004">
      <c r="A48" s="33" t="str">
        <f>IF(G48="VZ","",I48&amp;COUNTIF($I$4:I47,I48)+1)&amp;IF(K48&gt;0,"-N","")</f>
        <v>38</v>
      </c>
      <c r="B48" s="29">
        <f>+Matrizes!B49</f>
        <v>0</v>
      </c>
      <c r="C48" s="94">
        <f>+Matrizes!C49</f>
        <v>950</v>
      </c>
      <c r="D48" s="132">
        <f>+Matrizes!E49</f>
        <v>44478</v>
      </c>
      <c r="E48" s="94">
        <f>+Matrizes!G49</f>
        <v>11</v>
      </c>
      <c r="F48" s="133">
        <f>IFERROR(+Matrizes!H49,"")</f>
        <v>14.26969696969697</v>
      </c>
      <c r="G48" s="134"/>
      <c r="H48" s="132" t="str">
        <f t="shared" si="5"/>
        <v/>
      </c>
      <c r="I48" s="135" t="str">
        <f t="shared" si="8"/>
        <v/>
      </c>
      <c r="J48" s="79"/>
      <c r="K48" s="195"/>
      <c r="L48" s="79"/>
      <c r="M48" s="79"/>
      <c r="N48" s="201"/>
    </row>
    <row r="49" spans="1:14" hidden="1" x14ac:dyDescent="0.55000000000000004">
      <c r="A49" s="33" t="str">
        <f>IF(G49="VZ","",I49&amp;COUNTIF($I$4:I48,I49)+1)&amp;IF(K49&gt;0,"-N","")</f>
        <v>39</v>
      </c>
      <c r="B49" s="29">
        <f>+Matrizes!B50</f>
        <v>0</v>
      </c>
      <c r="C49" s="94">
        <f>+Matrizes!C50</f>
        <v>954</v>
      </c>
      <c r="D49" s="132">
        <f>+Matrizes!E50</f>
        <v>44399</v>
      </c>
      <c r="E49" s="94">
        <f>+Matrizes!G50</f>
        <v>12</v>
      </c>
      <c r="F49" s="133">
        <f>IFERROR(+Matrizes!H50,"")</f>
        <v>12.661111111111111</v>
      </c>
      <c r="G49" s="134"/>
      <c r="H49" s="132" t="str">
        <f t="shared" si="5"/>
        <v/>
      </c>
      <c r="I49" s="135" t="str">
        <f t="shared" si="8"/>
        <v/>
      </c>
      <c r="J49" s="79"/>
      <c r="K49" s="195"/>
      <c r="L49" s="79"/>
      <c r="M49" s="79"/>
      <c r="N49" s="201"/>
    </row>
    <row r="50" spans="1:14" hidden="1" x14ac:dyDescent="0.55000000000000004">
      <c r="A50" s="33" t="str">
        <f>IF(G50="VZ","",I50&amp;COUNTIF($I$4:I49,I50)+1)&amp;IF(K50&gt;0,"-N","")</f>
        <v>40</v>
      </c>
      <c r="B50" s="29">
        <f>+Matrizes!B51</f>
        <v>0</v>
      </c>
      <c r="C50" s="94">
        <f>+Matrizes!C51</f>
        <v>956</v>
      </c>
      <c r="D50" s="132">
        <f>+Matrizes!E51</f>
        <v>45889</v>
      </c>
      <c r="E50" s="94">
        <f>+Matrizes!G51</f>
        <v>12</v>
      </c>
      <c r="F50" s="133">
        <f>IFERROR(+Matrizes!H51,"")</f>
        <v>15.827777777777778</v>
      </c>
      <c r="G50" s="134"/>
      <c r="H50" s="132" t="str">
        <f t="shared" si="5"/>
        <v/>
      </c>
      <c r="I50" s="135" t="str">
        <f t="shared" si="8"/>
        <v/>
      </c>
      <c r="J50" s="79"/>
      <c r="K50" s="195"/>
      <c r="L50" s="79"/>
      <c r="M50" s="79"/>
      <c r="N50" s="201"/>
    </row>
    <row r="51" spans="1:14" x14ac:dyDescent="0.55000000000000004">
      <c r="A51" s="33" t="str">
        <f>IF(G51="VZ","",I51&amp;COUNTIF($I$4:I50,I51)+1)&amp;IF(K51&gt;0,"-N","")</f>
        <v>-N</v>
      </c>
      <c r="B51" s="29">
        <f>+Matrizes!B52</f>
        <v>7</v>
      </c>
      <c r="C51" s="94">
        <f>+Matrizes!C52</f>
        <v>957</v>
      </c>
      <c r="D51" s="132">
        <f>+Matrizes!E52</f>
        <v>45858</v>
      </c>
      <c r="E51" s="94">
        <f>+Matrizes!G52</f>
        <v>13</v>
      </c>
      <c r="F51" s="133">
        <f>IFERROR(+Matrizes!H52,"")</f>
        <v>13.617948717948718</v>
      </c>
      <c r="G51" s="134" t="s">
        <v>1160</v>
      </c>
      <c r="H51" s="132" t="str">
        <f t="shared" si="5"/>
        <v>xxxxx</v>
      </c>
      <c r="I51" s="135" t="str">
        <f t="shared" si="8"/>
        <v>xxxxx</v>
      </c>
      <c r="J51" s="79"/>
      <c r="K51" s="195" t="s">
        <v>1208</v>
      </c>
      <c r="L51" s="79"/>
      <c r="M51" s="79"/>
      <c r="N51" s="201"/>
    </row>
    <row r="52" spans="1:14" x14ac:dyDescent="0.55000000000000004">
      <c r="A52" s="33" t="str">
        <f>IF(G52="VZ","",I52&amp;COUNTIF($I$4:I51,I52)+1)&amp;IF(K52&gt;0,"-N","")</f>
        <v/>
      </c>
      <c r="B52" s="29">
        <f>+Matrizes!B53</f>
        <v>8</v>
      </c>
      <c r="C52" s="94">
        <f>+Matrizes!C53</f>
        <v>958</v>
      </c>
      <c r="D52" s="132">
        <f>+Matrizes!E53</f>
        <v>45851</v>
      </c>
      <c r="E52" s="94">
        <f>+Matrizes!G53</f>
        <v>12</v>
      </c>
      <c r="F52" s="133">
        <f>IFERROR(+Matrizes!H53,"")</f>
        <v>14.816666666666668</v>
      </c>
      <c r="G52" s="134" t="s">
        <v>1160</v>
      </c>
      <c r="H52" s="132" t="str">
        <f t="shared" si="5"/>
        <v>xxxxx</v>
      </c>
      <c r="I52" s="135" t="str">
        <f t="shared" si="8"/>
        <v>xxxxx</v>
      </c>
      <c r="J52" s="79"/>
      <c r="K52" s="195"/>
      <c r="L52" s="79"/>
      <c r="M52" s="79"/>
      <c r="N52" s="201"/>
    </row>
    <row r="53" spans="1:14" x14ac:dyDescent="0.55000000000000004">
      <c r="A53" s="33" t="str">
        <f>IF(G53="VZ","",I53&amp;COUNTIF($I$4:I52,I53)+1)&amp;IF(K53&gt;0,"-N","")</f>
        <v>-N</v>
      </c>
      <c r="B53" s="29">
        <f>+Matrizes!B54</f>
        <v>9</v>
      </c>
      <c r="C53" s="94">
        <f>+Matrizes!C54</f>
        <v>959</v>
      </c>
      <c r="D53" s="132">
        <f>+Matrizes!E54</f>
        <v>45866</v>
      </c>
      <c r="E53" s="94">
        <f>+Matrizes!G54</f>
        <v>11</v>
      </c>
      <c r="F53" s="133">
        <f>IFERROR(+Matrizes!H54,"")</f>
        <v>15.987878787878788</v>
      </c>
      <c r="G53" s="134" t="s">
        <v>1160</v>
      </c>
      <c r="H53" s="132" t="str">
        <f t="shared" si="5"/>
        <v>xxxxx</v>
      </c>
      <c r="I53" s="135" t="str">
        <f t="shared" si="8"/>
        <v>xxxxx</v>
      </c>
      <c r="J53" s="79"/>
      <c r="K53" s="195" t="s">
        <v>1208</v>
      </c>
      <c r="L53" s="79"/>
      <c r="M53" s="79"/>
      <c r="N53" s="201"/>
    </row>
    <row r="54" spans="1:14" x14ac:dyDescent="0.55000000000000004">
      <c r="A54" s="33" t="str">
        <f>IF(G54="VZ","",I54&amp;COUNTIF($I$4:I53,I54)+1)&amp;IF(K54&gt;0,"-N","")</f>
        <v>mar-abr3</v>
      </c>
      <c r="B54" s="29">
        <f>+Matrizes!B55</f>
        <v>10</v>
      </c>
      <c r="C54" s="94">
        <f>+Matrizes!C55</f>
        <v>961</v>
      </c>
      <c r="D54" s="132">
        <f>+Matrizes!E55</f>
        <v>45590</v>
      </c>
      <c r="E54" s="94">
        <f>+Matrizes!G55</f>
        <v>9</v>
      </c>
      <c r="F54" s="133">
        <f>IFERROR(+Matrizes!H55,"")</f>
        <v>15.899999999999999</v>
      </c>
      <c r="G54" s="134">
        <v>150</v>
      </c>
      <c r="H54" s="132">
        <f t="shared" si="5"/>
        <v>46109</v>
      </c>
      <c r="I54" s="135" t="str">
        <f t="shared" si="8"/>
        <v>mar-abr</v>
      </c>
      <c r="J54" s="79"/>
      <c r="K54" s="79"/>
      <c r="L54" s="79"/>
      <c r="M54" s="79"/>
      <c r="N54" s="201"/>
    </row>
    <row r="55" spans="1:14" x14ac:dyDescent="0.55000000000000004">
      <c r="A55" s="33" t="str">
        <f>IF(G55="VZ","",I55&amp;COUNTIF($I$4:I54,I55)+1)&amp;IF(K55&gt;0,"-N","")</f>
        <v>-N</v>
      </c>
      <c r="B55" s="29">
        <f>+Matrizes!B56</f>
        <v>11</v>
      </c>
      <c r="C55" s="94">
        <f>+Matrizes!C56</f>
        <v>963</v>
      </c>
      <c r="D55" s="132">
        <f>+Matrizes!E56</f>
        <v>45826</v>
      </c>
      <c r="E55" s="94">
        <f>+Matrizes!G56</f>
        <v>11</v>
      </c>
      <c r="F55" s="133">
        <f>IFERROR(+Matrizes!H56,"")</f>
        <v>16.078787878787878</v>
      </c>
      <c r="G55" s="134" t="s">
        <v>1160</v>
      </c>
      <c r="H55" s="132" t="str">
        <f t="shared" si="5"/>
        <v>xxxxx</v>
      </c>
      <c r="I55" s="135" t="str">
        <f t="shared" si="8"/>
        <v>xxxxx</v>
      </c>
      <c r="J55" s="79"/>
      <c r="K55" s="195" t="s">
        <v>1208</v>
      </c>
      <c r="L55" s="79"/>
      <c r="M55" s="79"/>
      <c r="N55" s="201"/>
    </row>
    <row r="56" spans="1:14" x14ac:dyDescent="0.55000000000000004">
      <c r="A56" s="33" t="str">
        <f>IF(G56="VZ","",I56&amp;COUNTIF($I$4:I55,I56)+1)&amp;IF(K56&gt;0,"-N","")</f>
        <v>-N</v>
      </c>
      <c r="B56" s="29">
        <f>+Matrizes!B57</f>
        <v>12</v>
      </c>
      <c r="C56" s="94">
        <f>+Matrizes!C57</f>
        <v>964</v>
      </c>
      <c r="D56" s="132">
        <f>+Matrizes!E57</f>
        <v>45942</v>
      </c>
      <c r="E56" s="94">
        <f>+Matrizes!G57</f>
        <v>14</v>
      </c>
      <c r="F56" s="133">
        <f>IFERROR(+Matrizes!H57,"")</f>
        <v>12.911904761904763</v>
      </c>
      <c r="G56" s="134" t="s">
        <v>1161</v>
      </c>
      <c r="H56" s="132" t="str">
        <f t="shared" si="5"/>
        <v>xxxxx</v>
      </c>
      <c r="I56" s="135" t="str">
        <f t="shared" si="8"/>
        <v>xxxxx</v>
      </c>
      <c r="J56" s="79"/>
      <c r="K56" s="79" t="s">
        <v>1208</v>
      </c>
      <c r="L56" s="79"/>
      <c r="M56" s="79"/>
      <c r="N56" s="201"/>
    </row>
    <row r="57" spans="1:14" hidden="1" x14ac:dyDescent="0.55000000000000004">
      <c r="A57" s="33" t="str">
        <f>IF(G57="VZ","",I57&amp;COUNTIF($I$4:I56,I57)+1)&amp;IF(K57&gt;0,"-N","")</f>
        <v>41</v>
      </c>
      <c r="B57" s="29">
        <f>+Matrizes!B58</f>
        <v>0</v>
      </c>
      <c r="C57" s="94">
        <f>+Matrizes!C58</f>
        <v>965</v>
      </c>
      <c r="D57" s="132">
        <f>+Matrizes!E58</f>
        <v>43763</v>
      </c>
      <c r="E57" s="94">
        <f>+Matrizes!G58</f>
        <v>8</v>
      </c>
      <c r="F57" s="133">
        <f>IFERROR(+Matrizes!H58,"")</f>
        <v>13.483333333333333</v>
      </c>
      <c r="G57" s="134"/>
      <c r="H57" s="132" t="str">
        <f t="shared" si="5"/>
        <v/>
      </c>
      <c r="I57" s="135" t="str">
        <f>IFERROR(IF(G57&gt;0,IF(DAY(+$D$2-G57+285)&lt;=15,TEXT(+$D$2-G57+285-20,"Mmm")&amp;"-"&amp;TEXT(+$D$2-G57+285,"mmm"),TEXT(+$D$2-G57+285,"Mmm")&amp;"-"&amp;TEXT(+$D$2-G57+285+20,"mmm")),""),"xxxxx")</f>
        <v/>
      </c>
      <c r="J57" s="79"/>
      <c r="K57" s="195"/>
      <c r="L57" s="79"/>
      <c r="M57" s="79"/>
      <c r="N57" s="201"/>
    </row>
    <row r="58" spans="1:14" hidden="1" x14ac:dyDescent="0.55000000000000004">
      <c r="A58" s="33" t="str">
        <f>IF(G58="VZ","",I58&amp;COUNTIF($I$4:I57,I58)+1)&amp;IF(K58&gt;0,"-N","")</f>
        <v>42</v>
      </c>
      <c r="B58" s="29">
        <f>+Matrizes!B59</f>
        <v>0</v>
      </c>
      <c r="C58" s="94">
        <f>+Matrizes!C59</f>
        <v>966</v>
      </c>
      <c r="D58" s="132">
        <f>+Matrizes!E59</f>
        <v>44976</v>
      </c>
      <c r="E58" s="94">
        <f>+Matrizes!G59</f>
        <v>11</v>
      </c>
      <c r="F58" s="133">
        <f>IFERROR(+Matrizes!H59,"")</f>
        <v>12.8</v>
      </c>
      <c r="G58" s="134"/>
      <c r="H58" s="132" t="str">
        <f t="shared" si="5"/>
        <v/>
      </c>
      <c r="I58" s="135" t="str">
        <f t="shared" ref="I58:I66" si="9">IFERROR(IF(G58&gt;0,IF(DAY(+$D$2-G58+285)&lt;=15,TEXT(+$D$2-G58+285-20,"Mmm")&amp;"-"&amp;TEXT(+$D$2-G58+285,"mmm"),TEXT(+$D$2-G58+285,"Mmm")&amp;"-"&amp;TEXT(+$D$2-G58+285+20,"mmm")),""),"xxxxx")</f>
        <v/>
      </c>
      <c r="J58" s="79"/>
      <c r="K58" s="79"/>
      <c r="L58" s="79"/>
      <c r="M58" s="79"/>
      <c r="N58" s="201"/>
    </row>
    <row r="59" spans="1:14" x14ac:dyDescent="0.55000000000000004">
      <c r="A59" s="33" t="str">
        <f>IF(G59="VZ","",I59&amp;COUNTIF($I$4:I58,I59)+1)&amp;IF(K59&gt;0,"-N","")</f>
        <v>abr-mai1</v>
      </c>
      <c r="B59" s="29">
        <f>+Matrizes!B60</f>
        <v>13</v>
      </c>
      <c r="C59" s="94">
        <f>+Matrizes!C60</f>
        <v>967</v>
      </c>
      <c r="D59" s="132">
        <f>+Matrizes!E60</f>
        <v>45595</v>
      </c>
      <c r="E59" s="94">
        <f>+Matrizes!G60</f>
        <v>12</v>
      </c>
      <c r="F59" s="133">
        <f>IFERROR(+Matrizes!H60,"")</f>
        <v>14.197222222222223</v>
      </c>
      <c r="G59" s="134">
        <v>110</v>
      </c>
      <c r="H59" s="132">
        <f t="shared" si="5"/>
        <v>46149</v>
      </c>
      <c r="I59" s="135" t="str">
        <f t="shared" si="9"/>
        <v>abr-mai</v>
      </c>
      <c r="J59" s="79"/>
      <c r="K59" s="79"/>
      <c r="L59" s="79"/>
      <c r="M59" s="79"/>
      <c r="N59" s="201"/>
    </row>
    <row r="60" spans="1:14" hidden="1" x14ac:dyDescent="0.55000000000000004">
      <c r="A60" s="33" t="str">
        <f>IF(G60="VZ","",I60&amp;COUNTIF($I$4:I59,I60)+1)&amp;IF(K60&gt;0,"-N","")</f>
        <v>43</v>
      </c>
      <c r="B60" s="29">
        <f>+Matrizes!B61</f>
        <v>0</v>
      </c>
      <c r="C60" s="94">
        <f>+Matrizes!C61</f>
        <v>969</v>
      </c>
      <c r="D60" s="132">
        <f>+Matrizes!E61</f>
        <v>45435</v>
      </c>
      <c r="E60" s="94">
        <f>+Matrizes!G61</f>
        <v>12</v>
      </c>
      <c r="F60" s="133">
        <f>IFERROR(+Matrizes!H61,"")</f>
        <v>13.652777777777779</v>
      </c>
      <c r="G60" s="134"/>
      <c r="H60" s="132" t="str">
        <f t="shared" si="5"/>
        <v/>
      </c>
      <c r="I60" s="135" t="str">
        <f t="shared" si="9"/>
        <v/>
      </c>
      <c r="J60" s="79"/>
      <c r="K60" s="79"/>
      <c r="L60" s="79"/>
      <c r="M60" s="79"/>
      <c r="N60" s="201"/>
    </row>
    <row r="61" spans="1:14" hidden="1" x14ac:dyDescent="0.55000000000000004">
      <c r="A61" s="33" t="str">
        <f>IF(G61="VZ","",I61&amp;COUNTIF($I$4:I60,I61)+1)&amp;IF(K61&gt;0,"-N","")</f>
        <v>44</v>
      </c>
      <c r="B61" s="29">
        <f>+Matrizes!B62</f>
        <v>0</v>
      </c>
      <c r="C61" s="94">
        <f>+Matrizes!C62</f>
        <v>972</v>
      </c>
      <c r="D61" s="132">
        <f>+Matrizes!E62</f>
        <v>44325</v>
      </c>
      <c r="E61" s="94">
        <f>+Matrizes!G62</f>
        <v>8</v>
      </c>
      <c r="F61" s="133">
        <f>IFERROR(+Matrizes!H62,"")</f>
        <v>15.5875</v>
      </c>
      <c r="G61" s="134"/>
      <c r="H61" s="132" t="str">
        <f t="shared" si="5"/>
        <v/>
      </c>
      <c r="I61" s="135" t="str">
        <f t="shared" si="9"/>
        <v/>
      </c>
      <c r="J61" s="79"/>
      <c r="K61" s="195"/>
      <c r="L61" s="79"/>
      <c r="M61" s="79"/>
      <c r="N61" s="201"/>
    </row>
    <row r="62" spans="1:14" x14ac:dyDescent="0.55000000000000004">
      <c r="A62" s="33" t="str">
        <f>IF(G62="VZ","",I62&amp;COUNTIF($I$4:I61,I62)+1)&amp;IF(K62&gt;0,"-N","")</f>
        <v>abr-mai2</v>
      </c>
      <c r="B62" s="29">
        <f>+Matrizes!B63</f>
        <v>14</v>
      </c>
      <c r="C62" s="94">
        <f>+Matrizes!C63</f>
        <v>973</v>
      </c>
      <c r="D62" s="132">
        <f>+Matrizes!E63</f>
        <v>45764</v>
      </c>
      <c r="E62" s="94">
        <f>+Matrizes!G63</f>
        <v>14</v>
      </c>
      <c r="F62" s="133">
        <f>IFERROR(+Matrizes!H63,"")</f>
        <v>12.521428571428572</v>
      </c>
      <c r="G62" s="134">
        <v>110</v>
      </c>
      <c r="H62" s="132">
        <f t="shared" si="5"/>
        <v>46149</v>
      </c>
      <c r="I62" s="135" t="str">
        <f t="shared" si="9"/>
        <v>abr-mai</v>
      </c>
      <c r="J62" s="79"/>
      <c r="K62" s="195"/>
      <c r="L62" s="79"/>
      <c r="M62" s="79"/>
      <c r="N62" s="201"/>
    </row>
    <row r="63" spans="1:14" hidden="1" x14ac:dyDescent="0.55000000000000004">
      <c r="A63" s="33" t="str">
        <f>IF(G63="VZ","",I63&amp;COUNTIF($I$4:I62,I63)+1)&amp;IF(K63&gt;0,"-N","")</f>
        <v>45</v>
      </c>
      <c r="B63" s="29">
        <f>+Matrizes!B64</f>
        <v>0</v>
      </c>
      <c r="C63" s="94">
        <v>975</v>
      </c>
      <c r="D63" s="132">
        <f>+Matrizes!E64</f>
        <v>45993</v>
      </c>
      <c r="E63" s="94">
        <f>+Matrizes!G64</f>
        <v>11</v>
      </c>
      <c r="F63" s="133">
        <f>IFERROR(+Matrizes!H64,"")</f>
        <v>16.384848484848483</v>
      </c>
      <c r="G63" s="134"/>
      <c r="H63" s="132" t="str">
        <f t="shared" si="5"/>
        <v/>
      </c>
      <c r="I63" s="135" t="str">
        <f t="shared" si="9"/>
        <v/>
      </c>
      <c r="J63" s="79"/>
      <c r="K63" s="195"/>
      <c r="L63" s="79" t="s">
        <v>12</v>
      </c>
      <c r="M63" s="79">
        <v>1150</v>
      </c>
      <c r="N63" s="201"/>
    </row>
    <row r="64" spans="1:14" x14ac:dyDescent="0.55000000000000004">
      <c r="A64" s="33" t="str">
        <f>IF(G64="VZ","",I64&amp;COUNTIF($I$4:I63,I64)+1)&amp;IF(K64&gt;0,"-N","")</f>
        <v>mar-abr4-N</v>
      </c>
      <c r="B64" s="29">
        <f>+Matrizes!B65</f>
        <v>15</v>
      </c>
      <c r="C64" s="94">
        <f>+Matrizes!C65</f>
        <v>976</v>
      </c>
      <c r="D64" s="132">
        <f>+Matrizes!E65</f>
        <v>46083</v>
      </c>
      <c r="E64" s="94">
        <f>+Matrizes!G65</f>
        <v>9</v>
      </c>
      <c r="F64" s="133">
        <f>IFERROR(+Matrizes!H65,"")</f>
        <v>14.985185185185186</v>
      </c>
      <c r="G64" s="134">
        <v>150</v>
      </c>
      <c r="H64" s="132">
        <f t="shared" si="5"/>
        <v>46109</v>
      </c>
      <c r="I64" s="135" t="str">
        <f t="shared" si="9"/>
        <v>mar-abr</v>
      </c>
      <c r="J64" s="79" t="s">
        <v>1119</v>
      </c>
      <c r="K64" s="195">
        <v>46083</v>
      </c>
      <c r="L64" s="79" t="s">
        <v>12</v>
      </c>
      <c r="M64" s="79">
        <v>1155</v>
      </c>
      <c r="N64" s="201"/>
    </row>
    <row r="65" spans="1:14 16384:16384" hidden="1" x14ac:dyDescent="0.55000000000000004">
      <c r="A65" s="33" t="str">
        <f>IF(G65="VZ","",I65&amp;COUNTIF($I$4:I64,I65)+1)&amp;IF(K65&gt;0,"-N","")</f>
        <v>46</v>
      </c>
      <c r="B65" s="29">
        <f>+Matrizes!B66</f>
        <v>0</v>
      </c>
      <c r="C65" s="94">
        <f>+Matrizes!C66</f>
        <v>977</v>
      </c>
      <c r="D65" s="132">
        <f>+Matrizes!E66</f>
        <v>44887</v>
      </c>
      <c r="E65" s="94">
        <f>+Matrizes!G66</f>
        <v>8</v>
      </c>
      <c r="F65" s="133">
        <f>IFERROR(+Matrizes!H66,"")</f>
        <v>13.1</v>
      </c>
      <c r="G65" s="134"/>
      <c r="H65" s="132" t="str">
        <f t="shared" si="5"/>
        <v/>
      </c>
      <c r="I65" s="135" t="str">
        <f t="shared" si="9"/>
        <v/>
      </c>
      <c r="J65" s="79"/>
      <c r="K65" s="79"/>
      <c r="L65" s="79"/>
      <c r="M65" s="79"/>
      <c r="N65" s="201"/>
    </row>
    <row r="66" spans="1:14 16384:16384" x14ac:dyDescent="0.55000000000000004">
      <c r="A66" s="33" t="str">
        <f>IF(G66="VZ","",I66&amp;COUNTIF($I$4:I65,I66)+1)&amp;IF(K66&gt;0,"-N","")</f>
        <v>nov-dez2-N</v>
      </c>
      <c r="B66" s="29">
        <f>+Matrizes!B67</f>
        <v>16</v>
      </c>
      <c r="C66" s="94">
        <f>+Matrizes!C67</f>
        <v>978</v>
      </c>
      <c r="D66" s="132">
        <f>+Matrizes!E67</f>
        <v>45585</v>
      </c>
      <c r="E66" s="94">
        <f>+Matrizes!G67</f>
        <v>8</v>
      </c>
      <c r="F66" s="133">
        <f>IFERROR(+Matrizes!H67,"")</f>
        <v>13.779166666666667</v>
      </c>
      <c r="G66" s="134">
        <v>270</v>
      </c>
      <c r="H66" s="132">
        <f t="shared" si="5"/>
        <v>45989</v>
      </c>
      <c r="I66" s="135" t="str">
        <f t="shared" si="9"/>
        <v>nov-dez</v>
      </c>
      <c r="J66" s="79" t="s">
        <v>1163</v>
      </c>
      <c r="K66" s="195">
        <v>45993</v>
      </c>
      <c r="L66" s="79" t="s">
        <v>12</v>
      </c>
      <c r="M66" s="79">
        <v>1150</v>
      </c>
      <c r="N66" s="201"/>
    </row>
    <row r="67" spans="1:14 16384:16384" hidden="1" x14ac:dyDescent="0.55000000000000004">
      <c r="A67" s="33" t="str">
        <f>IF(G67="VZ","",I67&amp;COUNTIF($I$4:I66,I67)+1)&amp;IF(K67&gt;0,"-N","")</f>
        <v>47</v>
      </c>
      <c r="B67" s="29">
        <f>+Matrizes!B68</f>
        <v>0</v>
      </c>
      <c r="C67" s="94">
        <f>+Matrizes!C68</f>
        <v>979</v>
      </c>
      <c r="D67" s="132">
        <f>+Matrizes!E68</f>
        <v>43411</v>
      </c>
      <c r="E67" s="94">
        <f>+Matrizes!G68</f>
        <v>3</v>
      </c>
      <c r="F67" s="133">
        <f>IFERROR(+Matrizes!H68,"")</f>
        <v>15.622222222222222</v>
      </c>
      <c r="G67" s="134"/>
      <c r="H67" s="132" t="str">
        <f t="shared" si="5"/>
        <v/>
      </c>
      <c r="I67" s="135" t="str">
        <f>IFERROR(IF(G67&gt;0,IF(DAY(+$D$2-G67+285)&lt;=15,TEXT(+$D$2-G67+285-20,"Mmm")&amp;"-"&amp;TEXT(+$D$2-G67+285,"mmm"),TEXT(+$D$2-G67+285,"Mmm")&amp;"-"&amp;TEXT(+$D$2-G67+285+20,"mmm")),""),"xxxxx")</f>
        <v/>
      </c>
      <c r="J67" s="79"/>
      <c r="K67" s="195"/>
      <c r="L67" s="79"/>
      <c r="M67" s="79"/>
      <c r="N67" s="201"/>
    </row>
    <row r="68" spans="1:14 16384:16384" x14ac:dyDescent="0.55000000000000004">
      <c r="A68" s="33" t="str">
        <f>IF(G68="VZ","",I68&amp;COUNTIF($I$4:I67,I68)+1)&amp;IF(K68&gt;0,"-N","")</f>
        <v>mar-abr5-N</v>
      </c>
      <c r="B68" s="29">
        <v>31</v>
      </c>
      <c r="C68" s="94">
        <v>980</v>
      </c>
      <c r="D68" s="132">
        <f>+Matrizes!E69</f>
        <v>46097</v>
      </c>
      <c r="E68" s="94">
        <f>+Matrizes!G69</f>
        <v>11</v>
      </c>
      <c r="F68" s="133">
        <f>IFERROR(+Matrizes!H69,"")</f>
        <v>13.139393939393939</v>
      </c>
      <c r="G68" s="134">
        <v>160</v>
      </c>
      <c r="H68" s="132">
        <f t="shared" ref="H68:H75" si="10">IFERROR(IF(G68&gt;0,+$D$2-G68+285,""),"xxxxx")</f>
        <v>46099</v>
      </c>
      <c r="I68" s="135" t="str">
        <f t="shared" ref="I68:I74" si="11">IFERROR(IF(G68&gt;0,IF(DAY(+$D$2-G68+285)&lt;=15,TEXT(+$D$2-G68+285-20,"Mmm")&amp;"-"&amp;TEXT(+$D$2-G68+285,"mmm"),TEXT(+$D$2-G68+285,"Mmm")&amp;"-"&amp;TEXT(+$D$2-G68+285+20,"mmm")),""),"xxxxx")</f>
        <v>mar-abr</v>
      </c>
      <c r="J68" s="79" t="s">
        <v>1120</v>
      </c>
      <c r="K68" s="195">
        <v>46097</v>
      </c>
      <c r="L68" s="79" t="s">
        <v>11</v>
      </c>
      <c r="M68" s="79">
        <v>1158</v>
      </c>
      <c r="N68" s="201"/>
    </row>
    <row r="69" spans="1:14 16384:16384" x14ac:dyDescent="0.55000000000000004">
      <c r="A69" s="33" t="str">
        <f>IF(G69="VZ","",I69&amp;COUNTIF($I$4:I68,I69)+1)&amp;IF(K69&gt;0,"-N","")</f>
        <v>mar-abr6-N</v>
      </c>
      <c r="B69" s="29">
        <f>+Matrizes!B70</f>
        <v>18</v>
      </c>
      <c r="C69" s="94">
        <f>+Matrizes!C70</f>
        <v>981</v>
      </c>
      <c r="D69" s="132">
        <f>+Matrizes!E70</f>
        <v>46105</v>
      </c>
      <c r="E69" s="94">
        <f>+Matrizes!G70</f>
        <v>9</v>
      </c>
      <c r="F69" s="133">
        <f>IFERROR(+Matrizes!H70,"")</f>
        <v>15.374074074074075</v>
      </c>
      <c r="G69" s="134">
        <v>150</v>
      </c>
      <c r="H69" s="132">
        <f t="shared" si="10"/>
        <v>46109</v>
      </c>
      <c r="I69" s="135" t="str">
        <f t="shared" si="11"/>
        <v>mar-abr</v>
      </c>
      <c r="J69" s="79" t="s">
        <v>1119</v>
      </c>
      <c r="K69" s="195">
        <v>46105</v>
      </c>
      <c r="L69" s="79" t="s">
        <v>12</v>
      </c>
      <c r="M69" s="79">
        <v>1160</v>
      </c>
      <c r="N69" s="201"/>
    </row>
    <row r="70" spans="1:14 16384:16384" hidden="1" x14ac:dyDescent="0.55000000000000004">
      <c r="A70" s="33" t="str">
        <f>IF(G70="VZ","",I70&amp;COUNTIF($I$4:I69,I70)+1)&amp;IF(K70&gt;0,"-N","")</f>
        <v>48</v>
      </c>
      <c r="B70" s="29">
        <f>+Matrizes!B71</f>
        <v>0</v>
      </c>
      <c r="C70" s="94">
        <f>+Matrizes!C71</f>
        <v>983</v>
      </c>
      <c r="D70" s="132">
        <v>44695</v>
      </c>
      <c r="E70" s="94">
        <f>+Matrizes!G71</f>
        <v>6</v>
      </c>
      <c r="F70" s="133">
        <f>IFERROR(+Matrizes!H71,"")</f>
        <v>15.044444444444444</v>
      </c>
      <c r="G70" s="134"/>
      <c r="H70" s="132" t="str">
        <f t="shared" si="10"/>
        <v/>
      </c>
      <c r="I70" s="135" t="str">
        <f t="shared" si="11"/>
        <v/>
      </c>
      <c r="J70" s="79"/>
      <c r="K70" s="195"/>
      <c r="L70" s="79"/>
      <c r="M70" s="79" t="s">
        <v>1071</v>
      </c>
      <c r="N70" s="201"/>
      <c r="XFD70" s="33">
        <v>1</v>
      </c>
    </row>
    <row r="71" spans="1:14 16384:16384" x14ac:dyDescent="0.55000000000000004">
      <c r="A71" s="33" t="str">
        <f>IF(G71="VZ","",I71&amp;COUNTIF($I$4:I70,I71)+1)&amp;IF(K71&gt;0,"-N","")</f>
        <v>-N</v>
      </c>
      <c r="B71" s="29">
        <f>+Matrizes!B72</f>
        <v>19</v>
      </c>
      <c r="C71" s="94">
        <f>+Matrizes!C72</f>
        <v>984</v>
      </c>
      <c r="D71" s="132">
        <f>+Matrizes!E72</f>
        <v>45790</v>
      </c>
      <c r="E71" s="94">
        <f>+Matrizes!G72</f>
        <v>9</v>
      </c>
      <c r="F71" s="133">
        <f>IFERROR(+Matrizes!H72,"")</f>
        <v>22</v>
      </c>
      <c r="G71" s="134" t="s">
        <v>1160</v>
      </c>
      <c r="H71" s="132" t="str">
        <f t="shared" si="10"/>
        <v>xxxxx</v>
      </c>
      <c r="I71" s="135" t="str">
        <f t="shared" si="11"/>
        <v>xxxxx</v>
      </c>
      <c r="J71" s="79"/>
      <c r="K71" s="195" t="s">
        <v>1209</v>
      </c>
      <c r="L71" s="79"/>
      <c r="M71" s="79"/>
      <c r="N71" s="201"/>
    </row>
    <row r="72" spans="1:14 16384:16384" hidden="1" x14ac:dyDescent="0.55000000000000004">
      <c r="A72" s="33" t="str">
        <f>IF(G72="VZ","",I72&amp;COUNTIF($I$4:I71,I72)+1)&amp;IF(K72&gt;0,"-N","")</f>
        <v>49</v>
      </c>
      <c r="B72" s="29">
        <f>+Matrizes!B73</f>
        <v>0</v>
      </c>
      <c r="C72" s="94">
        <f>+Matrizes!C73</f>
        <v>985</v>
      </c>
      <c r="D72" s="132">
        <f>+Matrizes!E73</f>
        <v>45796</v>
      </c>
      <c r="E72" s="94">
        <f>+Matrizes!G73</f>
        <v>9</v>
      </c>
      <c r="F72" s="133">
        <f>IFERROR(+Matrizes!H73,"")</f>
        <v>15.24814814814815</v>
      </c>
      <c r="G72" s="134"/>
      <c r="H72" s="132" t="str">
        <f t="shared" si="10"/>
        <v/>
      </c>
      <c r="I72" s="135" t="str">
        <f t="shared" si="11"/>
        <v/>
      </c>
      <c r="J72" s="79"/>
      <c r="K72" s="195"/>
      <c r="L72" s="79"/>
      <c r="M72" s="79"/>
      <c r="N72" s="201"/>
    </row>
    <row r="73" spans="1:14 16384:16384" x14ac:dyDescent="0.55000000000000004">
      <c r="A73" s="33" t="str">
        <f>IF(G73="VZ","",I73&amp;COUNTIF($I$4:I72,I73)+1)&amp;IF(K73&gt;0,"-N","")</f>
        <v>jan-fev1-N</v>
      </c>
      <c r="B73" s="29">
        <f>+Matrizes!B74</f>
        <v>20</v>
      </c>
      <c r="C73" s="94">
        <f>+Matrizes!C74</f>
        <v>987</v>
      </c>
      <c r="D73" s="132">
        <f>+Matrizes!E74</f>
        <v>45949</v>
      </c>
      <c r="E73" s="94">
        <f>+Matrizes!G74</f>
        <v>9</v>
      </c>
      <c r="F73" s="133">
        <f>IFERROR(+Matrizes!H74,"")</f>
        <v>14.640740740740739</v>
      </c>
      <c r="G73" s="134">
        <v>200</v>
      </c>
      <c r="H73" s="132">
        <f t="shared" si="10"/>
        <v>46059</v>
      </c>
      <c r="I73" s="135" t="str">
        <f t="shared" si="11"/>
        <v>jan-fev</v>
      </c>
      <c r="J73" s="79" t="s">
        <v>1163</v>
      </c>
      <c r="K73" s="195">
        <v>45949</v>
      </c>
      <c r="L73" s="79" t="s">
        <v>12</v>
      </c>
      <c r="M73" s="79">
        <v>1141</v>
      </c>
      <c r="N73" s="201"/>
    </row>
    <row r="74" spans="1:14 16384:16384" x14ac:dyDescent="0.55000000000000004">
      <c r="A74" s="33" t="str">
        <f>IF(G74="VZ","",I74&amp;COUNTIF($I$4:I73,I74)+1)&amp;IF(K74&gt;0,"-N","")</f>
        <v/>
      </c>
      <c r="B74" s="29">
        <f>+Matrizes!B75</f>
        <v>21</v>
      </c>
      <c r="C74" s="94">
        <f>+Matrizes!C75</f>
        <v>988</v>
      </c>
      <c r="D74" s="132">
        <f>+Matrizes!E75</f>
        <v>45764</v>
      </c>
      <c r="E74" s="94">
        <f>+Matrizes!G75</f>
        <v>9</v>
      </c>
      <c r="F74" s="133">
        <f>IFERROR(+Matrizes!H75,"")</f>
        <v>14.922222222222224</v>
      </c>
      <c r="G74" s="134" t="s">
        <v>1160</v>
      </c>
      <c r="H74" s="132" t="str">
        <f t="shared" si="10"/>
        <v>xxxxx</v>
      </c>
      <c r="I74" s="135" t="str">
        <f t="shared" si="11"/>
        <v>xxxxx</v>
      </c>
      <c r="J74" s="79"/>
      <c r="K74" s="195"/>
      <c r="L74" s="79"/>
      <c r="M74" s="79"/>
      <c r="N74" s="201"/>
    </row>
    <row r="75" spans="1:14 16384:16384" hidden="1" x14ac:dyDescent="0.55000000000000004">
      <c r="A75" s="33" t="str">
        <f>IF(G75="VZ","",I75&amp;COUNTIF($I$4:I74,I75)+1)&amp;IF(K75&gt;0,"-N","")</f>
        <v>50</v>
      </c>
      <c r="B75" s="29">
        <f>+Matrizes!B76</f>
        <v>0</v>
      </c>
      <c r="C75" s="94">
        <f>+Matrizes!C76</f>
        <v>989</v>
      </c>
      <c r="D75" s="132">
        <f>+Matrizes!E76</f>
        <v>43486</v>
      </c>
      <c r="E75" s="94">
        <f>+Matrizes!G76</f>
        <v>3</v>
      </c>
      <c r="F75" s="133">
        <f>IFERROR(+Matrizes!H76,"")</f>
        <v>15.233333333333334</v>
      </c>
      <c r="G75" s="134"/>
      <c r="H75" s="132" t="str">
        <f t="shared" si="10"/>
        <v/>
      </c>
      <c r="I75" s="135" t="str">
        <f>IFERROR(IF(G75&gt;0,IF(DAY(+$D$2-G75+285)&lt;=15,TEXT(+$D$2-G75+285-20,"Mmm")&amp;"-"&amp;TEXT(+$D$2-G75+285,"mmm"),TEXT(+$D$2-G75+285,"Mmm")&amp;"-"&amp;TEXT(+$D$2-G75+285+20,"mmm")),""),"xxxxx")</f>
        <v/>
      </c>
      <c r="J75" s="79"/>
      <c r="K75" s="195"/>
      <c r="L75" s="79"/>
      <c r="M75" s="79"/>
      <c r="N75" s="201"/>
    </row>
    <row r="76" spans="1:14 16384:16384" x14ac:dyDescent="0.55000000000000004">
      <c r="A76" s="33" t="str">
        <f>IF(G76="VZ","",I76&amp;COUNTIF($I$4:I75,I76)+1)&amp;IF(K76&gt;0,"-N","")</f>
        <v/>
      </c>
      <c r="B76" s="29">
        <f>+Matrizes!B77</f>
        <v>22</v>
      </c>
      <c r="C76" s="94">
        <f>+Matrizes!C77</f>
        <v>990</v>
      </c>
      <c r="D76" s="132">
        <f>+Matrizes!E77</f>
        <v>45670</v>
      </c>
      <c r="E76" s="94">
        <f>+Matrizes!G77</f>
        <v>8</v>
      </c>
      <c r="F76" s="133">
        <f>IFERROR(+Matrizes!H77,"")</f>
        <v>14.987500000000001</v>
      </c>
      <c r="G76" s="134" t="s">
        <v>1160</v>
      </c>
      <c r="H76" s="132" t="str">
        <f t="shared" ref="H75:H110" si="12">IFERROR(IF(G76&gt;0,+$D$2-G76+285,""),"xxxxx")</f>
        <v>xxxxx</v>
      </c>
      <c r="I76" s="135" t="str">
        <f t="shared" ref="I76:I78" si="13">IFERROR(IF(G76&gt;0,IF(DAY(+$D$2-G76+285)&lt;=15,TEXT(+$D$2-G76+285-20,"Mmm")&amp;"-"&amp;TEXT(+$D$2-G76+285,"mmm"),TEXT(+$D$2-G76+285,"Mmm")&amp;"-"&amp;TEXT(+$D$2-G76+285+20,"mmm")),""),"xxxxx")</f>
        <v>xxxxx</v>
      </c>
      <c r="J76" s="79"/>
      <c r="K76" s="195"/>
      <c r="L76" s="79"/>
      <c r="M76" s="79"/>
      <c r="N76" s="201"/>
    </row>
    <row r="77" spans="1:14 16384:16384" x14ac:dyDescent="0.55000000000000004">
      <c r="A77" s="33" t="str">
        <f>IF(G77="VZ","",I77&amp;COUNTIF($I$4:I76,I77)+1)&amp;IF(K77&gt;0,"-N","")</f>
        <v>-N</v>
      </c>
      <c r="B77" s="29">
        <f>+Matrizes!B78</f>
        <v>23</v>
      </c>
      <c r="C77" s="94">
        <f>+Matrizes!C78</f>
        <v>992</v>
      </c>
      <c r="D77" s="132">
        <f>+Matrizes!E78</f>
        <v>45914</v>
      </c>
      <c r="E77" s="94">
        <f>+Matrizes!G78</f>
        <v>9</v>
      </c>
      <c r="F77" s="133">
        <f>IFERROR(+Matrizes!H78,"")</f>
        <v>14.148148148148147</v>
      </c>
      <c r="G77" s="134" t="s">
        <v>1160</v>
      </c>
      <c r="H77" s="132" t="str">
        <f t="shared" si="12"/>
        <v>xxxxx</v>
      </c>
      <c r="I77" s="135" t="str">
        <f t="shared" si="13"/>
        <v>xxxxx</v>
      </c>
      <c r="J77" s="79"/>
      <c r="K77" s="195" t="s">
        <v>1208</v>
      </c>
      <c r="L77" s="79"/>
      <c r="M77" s="79"/>
      <c r="N77" s="201"/>
    </row>
    <row r="78" spans="1:14 16384:16384" x14ac:dyDescent="0.55000000000000004">
      <c r="A78" s="33" t="str">
        <f>IF(G78="VZ","",I78&amp;COUNTIF($I$4:I77,I78)+1)&amp;IF(K78&gt;0,"-N","")</f>
        <v/>
      </c>
      <c r="B78" s="29">
        <f>+Matrizes!B79</f>
        <v>24</v>
      </c>
      <c r="C78" s="94">
        <f>+Matrizes!C79</f>
        <v>993</v>
      </c>
      <c r="D78" s="132">
        <f>+Matrizes!E79</f>
        <v>45866</v>
      </c>
      <c r="E78" s="94">
        <f>+Matrizes!G79</f>
        <v>8</v>
      </c>
      <c r="F78" s="133">
        <f>IFERROR(+Matrizes!H79,"")</f>
        <v>15.929166666666667</v>
      </c>
      <c r="G78" s="134" t="s">
        <v>1160</v>
      </c>
      <c r="H78" s="132" t="str">
        <f t="shared" si="12"/>
        <v>xxxxx</v>
      </c>
      <c r="I78" s="135" t="str">
        <f t="shared" si="13"/>
        <v>xxxxx</v>
      </c>
      <c r="J78" s="79"/>
      <c r="K78" s="195"/>
      <c r="L78" s="79"/>
      <c r="M78" s="79"/>
      <c r="N78" s="201"/>
    </row>
    <row r="79" spans="1:14 16384:16384" hidden="1" x14ac:dyDescent="0.55000000000000004">
      <c r="A79" s="33" t="str">
        <f>IF(G79="VZ","",I79&amp;COUNTIF($I$4:I78,I79)+1)&amp;IF(K79&gt;0,"-N","")</f>
        <v>51</v>
      </c>
      <c r="B79" s="29">
        <f>+Matrizes!B80</f>
        <v>0</v>
      </c>
      <c r="C79" s="94">
        <f>+Matrizes!C80</f>
        <v>1008</v>
      </c>
      <c r="D79" s="132">
        <f>+Matrizes!E80</f>
        <v>43811</v>
      </c>
      <c r="E79" s="94">
        <f>+Matrizes!G80</f>
        <v>1</v>
      </c>
      <c r="F79" s="133">
        <f>IFERROR(+Matrizes!H80,"")</f>
        <v>9.5333333333333332</v>
      </c>
      <c r="G79" s="134"/>
      <c r="H79" s="132" t="str">
        <f t="shared" si="12"/>
        <v/>
      </c>
      <c r="I79" s="135" t="str">
        <f>IFERROR(IF(G79&gt;0,IF(DAY(+$D$2-G79+285)&lt;=15,TEXT(+$D$2-G79+285-20,"Mmm")&amp;"-"&amp;TEXT(+$D$2-G79+285,"mmm"),TEXT(+$D$2-G79+285,"Mmm")&amp;"-"&amp;TEXT(+$D$2-G79+285+20,"mmm")),""),"xxxxx")</f>
        <v/>
      </c>
      <c r="J79" s="79"/>
      <c r="K79" s="195"/>
      <c r="L79" s="79"/>
      <c r="M79" s="79"/>
      <c r="N79" s="201"/>
    </row>
    <row r="80" spans="1:14 16384:16384" x14ac:dyDescent="0.55000000000000004">
      <c r="A80" s="33" t="str">
        <f>IF(G80="VZ","",I80&amp;COUNTIF($I$4:I79,I80)+1)&amp;IF(K80&gt;0,"-N","")</f>
        <v/>
      </c>
      <c r="B80" s="29">
        <f>+Matrizes!B81</f>
        <v>25</v>
      </c>
      <c r="C80" s="94">
        <f>+Matrizes!C81</f>
        <v>1009</v>
      </c>
      <c r="D80" s="132">
        <f>+Matrizes!E81</f>
        <v>45923</v>
      </c>
      <c r="E80" s="94">
        <f>+Matrizes!G81</f>
        <v>6</v>
      </c>
      <c r="F80" s="133">
        <f>IFERROR(+Matrizes!H81,"")</f>
        <v>13.472222222222221</v>
      </c>
      <c r="G80" s="134" t="s">
        <v>1160</v>
      </c>
      <c r="H80" s="132" t="str">
        <f t="shared" si="12"/>
        <v>xxxxx</v>
      </c>
      <c r="I80" s="135" t="str">
        <f t="shared" ref="I80:I110" si="14">IFERROR(IF(G80&gt;0,IF(DAY(+$D$2-G80+285)&lt;=15,TEXT(+$D$2-G80+285-20,"Mmm")&amp;"-"&amp;TEXT(+$D$2-G80+285,"mmm"),TEXT(+$D$2-G80+285,"Mmm")&amp;"-"&amp;TEXT(+$D$2-G80+285+20,"mmm")),""),"xxxxx")</f>
        <v>xxxxx</v>
      </c>
      <c r="J80" s="79"/>
      <c r="K80" s="195"/>
      <c r="L80" s="79"/>
      <c r="M80" s="79"/>
      <c r="N80" s="201"/>
    </row>
    <row r="81" spans="1:14" x14ac:dyDescent="0.55000000000000004">
      <c r="A81" s="33" t="str">
        <f>IF(G81="VZ","",I81&amp;COUNTIF($I$4:I80,I81)+1)&amp;IF(K81&gt;0,"-N","")</f>
        <v/>
      </c>
      <c r="B81" s="29">
        <f>+Matrizes!B82</f>
        <v>26</v>
      </c>
      <c r="C81" s="94">
        <f>+Matrizes!C82</f>
        <v>1010</v>
      </c>
      <c r="D81" s="132">
        <f>+Matrizes!E82</f>
        <v>45879</v>
      </c>
      <c r="E81" s="94">
        <f>+Matrizes!G82</f>
        <v>6</v>
      </c>
      <c r="F81" s="133">
        <f>IFERROR(+Matrizes!H82,"")</f>
        <v>13.111111111111112</v>
      </c>
      <c r="G81" s="134" t="s">
        <v>1160</v>
      </c>
      <c r="H81" s="132" t="str">
        <f t="shared" si="12"/>
        <v>xxxxx</v>
      </c>
      <c r="I81" s="135" t="str">
        <f t="shared" si="14"/>
        <v>xxxxx</v>
      </c>
      <c r="J81" s="79"/>
      <c r="K81" s="195"/>
      <c r="L81" s="79"/>
      <c r="M81" s="79"/>
      <c r="N81" s="201"/>
    </row>
    <row r="82" spans="1:14" x14ac:dyDescent="0.55000000000000004">
      <c r="A82" s="33" t="str">
        <f>IF(G82="VZ","",I82&amp;COUNTIF($I$4:I81,I82)+1)&amp;IF(K82&gt;0,"-N","")</f>
        <v>-N</v>
      </c>
      <c r="B82" s="29">
        <f>+Matrizes!B83</f>
        <v>27</v>
      </c>
      <c r="C82" s="94">
        <f>+Matrizes!C83</f>
        <v>1011</v>
      </c>
      <c r="D82" s="132">
        <f>+Matrizes!E83</f>
        <v>45947</v>
      </c>
      <c r="E82" s="94">
        <f>+Matrizes!G83</f>
        <v>6</v>
      </c>
      <c r="F82" s="133">
        <f>IFERROR(+Matrizes!H83,"")</f>
        <v>13.4</v>
      </c>
      <c r="G82" s="134" t="s">
        <v>1160</v>
      </c>
      <c r="H82" s="132" t="str">
        <f t="shared" si="12"/>
        <v>xxxxx</v>
      </c>
      <c r="I82" s="135" t="str">
        <f t="shared" si="14"/>
        <v>xxxxx</v>
      </c>
      <c r="J82" s="79" t="s">
        <v>1163</v>
      </c>
      <c r="K82" s="195">
        <v>45947</v>
      </c>
      <c r="L82" s="79" t="s">
        <v>11</v>
      </c>
      <c r="M82" s="79">
        <v>1138</v>
      </c>
      <c r="N82" s="201"/>
    </row>
    <row r="83" spans="1:14" x14ac:dyDescent="0.55000000000000004">
      <c r="A83" s="33" t="str">
        <f>IF(G83="VZ","",I83&amp;COUNTIF($I$4:I82,I83)+1)&amp;IF(K83&gt;0,"-N","")</f>
        <v/>
      </c>
      <c r="B83" s="29">
        <f>+Matrizes!B84</f>
        <v>28</v>
      </c>
      <c r="C83" s="94">
        <f>+Matrizes!C84</f>
        <v>1012</v>
      </c>
      <c r="D83" s="132">
        <f>+Matrizes!E84</f>
        <v>45839</v>
      </c>
      <c r="E83" s="94">
        <f>+Matrizes!G84</f>
        <v>5</v>
      </c>
      <c r="F83" s="133">
        <f>IFERROR(+Matrizes!H84,"")</f>
        <v>15.02</v>
      </c>
      <c r="G83" s="134" t="s">
        <v>1160</v>
      </c>
      <c r="H83" s="132" t="str">
        <f t="shared" si="12"/>
        <v>xxxxx</v>
      </c>
      <c r="I83" s="135" t="str">
        <f t="shared" si="14"/>
        <v>xxxxx</v>
      </c>
      <c r="J83" s="79"/>
      <c r="K83" s="195"/>
      <c r="L83" s="79"/>
      <c r="M83" s="79"/>
      <c r="N83" s="201"/>
    </row>
    <row r="84" spans="1:14" x14ac:dyDescent="0.55000000000000004">
      <c r="A84" s="33" t="str">
        <f>IF(G84="VZ","",I84&amp;COUNTIF($I$4:I83,I84)+1)&amp;IF(K84&gt;0,"-N","")</f>
        <v/>
      </c>
      <c r="B84" s="29">
        <f>+Matrizes!B85</f>
        <v>29</v>
      </c>
      <c r="C84" s="94">
        <f>+Matrizes!C85</f>
        <v>1020</v>
      </c>
      <c r="D84" s="132">
        <f>+Matrizes!E85</f>
        <v>45840</v>
      </c>
      <c r="E84" s="94">
        <v>1</v>
      </c>
      <c r="F84" s="133">
        <f>IFERROR(+Matrizes!H85,"")</f>
        <v>15.166666666666666</v>
      </c>
      <c r="G84" s="134" t="s">
        <v>1160</v>
      </c>
      <c r="H84" s="132" t="str">
        <f t="shared" si="12"/>
        <v>xxxxx</v>
      </c>
      <c r="I84" s="135" t="str">
        <f t="shared" si="14"/>
        <v>xxxxx</v>
      </c>
      <c r="J84" s="79"/>
      <c r="K84" s="195"/>
      <c r="L84" s="79"/>
      <c r="M84" s="79"/>
      <c r="N84" s="201"/>
    </row>
    <row r="85" spans="1:14" hidden="1" x14ac:dyDescent="0.55000000000000004">
      <c r="A85" s="33" t="str">
        <f>IF(G85="VZ","",I85&amp;COUNTIF($I$4:I84,I85)+1)&amp;IF(K85&gt;0,"-N","")</f>
        <v>52</v>
      </c>
      <c r="B85" s="29">
        <f>+Matrizes!B86</f>
        <v>0</v>
      </c>
      <c r="C85" s="94">
        <f>+Matrizes!C86</f>
        <v>1021</v>
      </c>
      <c r="D85" s="132">
        <f>+Matrizes!E86</f>
        <v>44820</v>
      </c>
      <c r="E85" s="94">
        <f>+Matrizes!G86</f>
        <v>1</v>
      </c>
      <c r="F85" s="133">
        <f>IFERROR(+Matrizes!H86,"")</f>
        <v>9.5333333333333332</v>
      </c>
      <c r="G85" s="134"/>
      <c r="H85" s="132" t="str">
        <f t="shared" si="12"/>
        <v/>
      </c>
      <c r="I85" s="135" t="str">
        <f t="shared" si="14"/>
        <v/>
      </c>
      <c r="J85" s="79"/>
      <c r="K85" s="198"/>
      <c r="L85" s="79"/>
      <c r="M85" s="195"/>
      <c r="N85" s="201"/>
    </row>
    <row r="86" spans="1:14" x14ac:dyDescent="0.55000000000000004">
      <c r="A86" s="33" t="str">
        <f>IF(G86="VZ","",I86&amp;COUNTIF($I$4:I85,I86)+1)&amp;IF(K86&gt;0,"-N","")</f>
        <v>-N</v>
      </c>
      <c r="B86" s="29">
        <f>+Matrizes!B87</f>
        <v>30</v>
      </c>
      <c r="C86" s="94">
        <f>+Matrizes!C87</f>
        <v>1022</v>
      </c>
      <c r="D86" s="132">
        <f>+Matrizes!E87</f>
        <v>45953</v>
      </c>
      <c r="E86" s="94">
        <f>+Matrizes!G87</f>
        <v>3</v>
      </c>
      <c r="F86" s="133">
        <f>IFERROR(+Matrizes!H87,"")</f>
        <v>15.444444444444445</v>
      </c>
      <c r="G86" s="134" t="s">
        <v>1160</v>
      </c>
      <c r="H86" s="132" t="str">
        <f t="shared" si="12"/>
        <v>xxxxx</v>
      </c>
      <c r="I86" s="135" t="str">
        <f t="shared" si="14"/>
        <v>xxxxx</v>
      </c>
      <c r="J86" s="79" t="s">
        <v>1163</v>
      </c>
      <c r="K86" s="195">
        <v>45952</v>
      </c>
      <c r="L86" s="79" t="s">
        <v>12</v>
      </c>
      <c r="M86" s="79">
        <v>1142</v>
      </c>
      <c r="N86" s="201"/>
    </row>
    <row r="87" spans="1:14" x14ac:dyDescent="0.55000000000000004">
      <c r="A87" s="33" t="str">
        <f>IF(G87="VZ","",I87&amp;COUNTIF($I$4:I86,I87)+1)&amp;IF(K87&gt;0,"-N","")</f>
        <v>nov-dez3-N</v>
      </c>
      <c r="B87" s="29">
        <f>+Matrizes!B88</f>
        <v>31</v>
      </c>
      <c r="C87" s="94">
        <f>+Matrizes!C88</f>
        <v>1023</v>
      </c>
      <c r="D87" s="132">
        <f>+Matrizes!E88</f>
        <v>45993</v>
      </c>
      <c r="E87" s="94">
        <f>+Matrizes!G88</f>
        <v>3</v>
      </c>
      <c r="F87" s="133">
        <f>IFERROR(+Matrizes!H88,"")</f>
        <v>15.355555555555556</v>
      </c>
      <c r="G87" s="134">
        <v>270</v>
      </c>
      <c r="H87" s="132">
        <f t="shared" si="12"/>
        <v>45989</v>
      </c>
      <c r="I87" s="135" t="str">
        <f t="shared" si="14"/>
        <v>nov-dez</v>
      </c>
      <c r="J87" s="79" t="s">
        <v>1163</v>
      </c>
      <c r="K87" s="195">
        <v>45993</v>
      </c>
      <c r="L87" s="79" t="s">
        <v>11</v>
      </c>
      <c r="M87" s="79">
        <v>1151</v>
      </c>
      <c r="N87" s="201"/>
    </row>
    <row r="88" spans="1:14" x14ac:dyDescent="0.55000000000000004">
      <c r="A88" s="33" t="str">
        <f>IF(G88="VZ","",I88&amp;COUNTIF($I$4:I87,I88)+1)&amp;IF(K88&gt;0,"-N","")</f>
        <v/>
      </c>
      <c r="B88" s="29">
        <f>+Matrizes!B89</f>
        <v>32</v>
      </c>
      <c r="C88" s="94">
        <f>+Matrizes!C89</f>
        <v>1024</v>
      </c>
      <c r="D88" s="132">
        <f>+Matrizes!E89</f>
        <v>45905</v>
      </c>
      <c r="E88" s="94">
        <f>+Matrizes!G89</f>
        <v>3</v>
      </c>
      <c r="F88" s="133">
        <f>IFERROR(+Matrizes!H89,"")</f>
        <v>14.866666666666667</v>
      </c>
      <c r="G88" s="134" t="s">
        <v>1160</v>
      </c>
      <c r="H88" s="132" t="str">
        <f t="shared" si="12"/>
        <v>xxxxx</v>
      </c>
      <c r="I88" s="135" t="str">
        <f t="shared" si="14"/>
        <v>xxxxx</v>
      </c>
      <c r="J88" s="79"/>
      <c r="K88" s="79"/>
      <c r="L88" s="79"/>
      <c r="M88" s="79"/>
      <c r="N88" s="201"/>
    </row>
    <row r="89" spans="1:14" x14ac:dyDescent="0.55000000000000004">
      <c r="A89" s="33" t="str">
        <f>IF(G89="VZ","",I89&amp;COUNTIF($I$4:I88,I89)+1)&amp;IF(K89&gt;0,"-N","")</f>
        <v/>
      </c>
      <c r="B89" s="29">
        <f>+Matrizes!B90</f>
        <v>33</v>
      </c>
      <c r="C89" s="94">
        <f>+Matrizes!C90</f>
        <v>1025</v>
      </c>
      <c r="D89" s="132">
        <f>+Matrizes!E90</f>
        <v>45907</v>
      </c>
      <c r="E89" s="94">
        <f>+Matrizes!G90</f>
        <v>3</v>
      </c>
      <c r="F89" s="133">
        <f>IFERROR(+Matrizes!H90,"")</f>
        <v>15.377777777777778</v>
      </c>
      <c r="G89" s="134" t="s">
        <v>1160</v>
      </c>
      <c r="H89" s="132" t="str">
        <f t="shared" si="12"/>
        <v>xxxxx</v>
      </c>
      <c r="I89" s="135" t="str">
        <f t="shared" si="14"/>
        <v>xxxxx</v>
      </c>
      <c r="J89" s="79"/>
      <c r="K89" s="195"/>
      <c r="L89" s="79"/>
      <c r="M89" s="79"/>
      <c r="N89" s="201"/>
    </row>
    <row r="90" spans="1:14" x14ac:dyDescent="0.55000000000000004">
      <c r="A90" s="33" t="str">
        <f>IF(G90="VZ","",I90&amp;COUNTIF($I$4:I89,I90)+1)&amp;IF(K90&gt;0,"-N","")</f>
        <v>jan-fev2-N</v>
      </c>
      <c r="B90" s="29">
        <f>+Matrizes!B91</f>
        <v>34</v>
      </c>
      <c r="C90" s="94">
        <f>+Matrizes!C91</f>
        <v>1026</v>
      </c>
      <c r="D90" s="132">
        <f>+Matrizes!E91</f>
        <v>46092</v>
      </c>
      <c r="E90" s="94">
        <f>+Matrizes!G91</f>
        <v>3</v>
      </c>
      <c r="F90" s="133">
        <v>16.68</v>
      </c>
      <c r="G90" s="134">
        <v>220</v>
      </c>
      <c r="H90" s="132">
        <f t="shared" si="12"/>
        <v>46039</v>
      </c>
      <c r="I90" s="135" t="str">
        <f t="shared" si="14"/>
        <v>jan-fev</v>
      </c>
      <c r="J90" s="79" t="s">
        <v>1120</v>
      </c>
      <c r="K90" s="195">
        <v>46092</v>
      </c>
      <c r="L90" s="79" t="s">
        <v>12</v>
      </c>
      <c r="M90" s="79">
        <v>1156</v>
      </c>
      <c r="N90" s="201"/>
    </row>
    <row r="91" spans="1:14" x14ac:dyDescent="0.55000000000000004">
      <c r="A91" s="33" t="str">
        <f>IF(G91="VZ","",I91&amp;COUNTIF($I$4:I90,I91)+1)&amp;IF(K91&gt;0,"-N","")</f>
        <v>nov-dez4-N</v>
      </c>
      <c r="B91" s="29">
        <f>+Matrizes!B92</f>
        <v>35</v>
      </c>
      <c r="C91" s="94">
        <f>+Matrizes!C92</f>
        <v>1027</v>
      </c>
      <c r="D91" s="132">
        <f>+Matrizes!E92</f>
        <v>45965</v>
      </c>
      <c r="E91" s="94">
        <f>+Matrizes!G92</f>
        <v>3</v>
      </c>
      <c r="F91" s="133">
        <f>IFERROR(+Matrizes!H92,"")</f>
        <v>16.011111111111109</v>
      </c>
      <c r="G91" s="134">
        <v>270</v>
      </c>
      <c r="H91" s="132">
        <f t="shared" si="12"/>
        <v>45989</v>
      </c>
      <c r="I91" s="135" t="str">
        <f t="shared" si="14"/>
        <v>nov-dez</v>
      </c>
      <c r="J91" s="79" t="s">
        <v>1163</v>
      </c>
      <c r="K91" s="195">
        <v>45965</v>
      </c>
      <c r="L91" s="79" t="s">
        <v>11</v>
      </c>
      <c r="M91" s="79">
        <v>1145</v>
      </c>
      <c r="N91" s="201"/>
    </row>
    <row r="92" spans="1:14" x14ac:dyDescent="0.55000000000000004">
      <c r="A92" s="33" t="str">
        <f>IF(G92="VZ","",I92&amp;COUNTIF($I$4:I91,I92)+1)&amp;IF(K92&gt;0,"-N","")</f>
        <v/>
      </c>
      <c r="B92" s="29">
        <f>+Matrizes!B93</f>
        <v>36</v>
      </c>
      <c r="C92" s="94">
        <f>+Matrizes!C93</f>
        <v>1028</v>
      </c>
      <c r="D92" s="132">
        <f>+Matrizes!E93</f>
        <v>45907</v>
      </c>
      <c r="E92" s="94">
        <f>+Matrizes!G93</f>
        <v>3</v>
      </c>
      <c r="F92" s="133">
        <f>IFERROR(+Matrizes!H93,"")</f>
        <v>15.144444444444444</v>
      </c>
      <c r="G92" s="134" t="s">
        <v>1160</v>
      </c>
      <c r="H92" s="132" t="str">
        <f t="shared" si="12"/>
        <v>xxxxx</v>
      </c>
      <c r="I92" s="135" t="str">
        <f t="shared" si="14"/>
        <v>xxxxx</v>
      </c>
      <c r="J92" s="79"/>
      <c r="K92" s="195"/>
      <c r="L92" s="195"/>
      <c r="M92" s="79"/>
      <c r="N92" s="201"/>
    </row>
    <row r="93" spans="1:14" x14ac:dyDescent="0.55000000000000004">
      <c r="A93" s="33" t="str">
        <f>IF(G93="VZ","",I93&amp;COUNTIF($I$4:I92,I93)+1)&amp;IF(K93&gt;0,"-N","")</f>
        <v/>
      </c>
      <c r="B93" s="29">
        <f>+Matrizes!B94</f>
        <v>37</v>
      </c>
      <c r="C93" s="94">
        <f>+Matrizes!C94</f>
        <v>1029</v>
      </c>
      <c r="D93" s="132">
        <f>+Matrizes!E94</f>
        <v>45931</v>
      </c>
      <c r="E93" s="94">
        <f>+Matrizes!G94</f>
        <v>3</v>
      </c>
      <c r="F93" s="133">
        <f>IFERROR(+Matrizes!H94,"")</f>
        <v>15.71111111111111</v>
      </c>
      <c r="G93" s="134" t="s">
        <v>1160</v>
      </c>
      <c r="H93" s="132" t="str">
        <f t="shared" si="12"/>
        <v>xxxxx</v>
      </c>
      <c r="I93" s="135" t="str">
        <f t="shared" si="14"/>
        <v>xxxxx</v>
      </c>
      <c r="J93" s="79"/>
      <c r="K93" s="195"/>
      <c r="L93" s="79"/>
      <c r="M93" s="79"/>
      <c r="N93" s="201"/>
    </row>
    <row r="94" spans="1:14" x14ac:dyDescent="0.55000000000000004">
      <c r="A94" s="33" t="str">
        <f>IF(G94="VZ","",I94&amp;COUNTIF($I$4:I93,I94)+1)&amp;IF(K94&gt;0,"-N","")</f>
        <v/>
      </c>
      <c r="B94" s="29">
        <f>+Matrizes!B95</f>
        <v>38</v>
      </c>
      <c r="C94" s="94">
        <f>+Matrizes!C95</f>
        <v>1030</v>
      </c>
      <c r="D94" s="132">
        <f>+Matrizes!E95</f>
        <v>45870</v>
      </c>
      <c r="E94" s="94">
        <f>+Matrizes!G95</f>
        <v>3</v>
      </c>
      <c r="F94" s="133">
        <f>IFERROR(+Matrizes!H95,"")</f>
        <v>15.177777777777777</v>
      </c>
      <c r="G94" s="134" t="s">
        <v>1160</v>
      </c>
      <c r="H94" s="132" t="str">
        <f t="shared" si="12"/>
        <v>xxxxx</v>
      </c>
      <c r="I94" s="135" t="str">
        <f t="shared" si="14"/>
        <v>xxxxx</v>
      </c>
      <c r="J94" s="79"/>
      <c r="K94" s="195"/>
      <c r="L94" s="79"/>
      <c r="M94" s="79"/>
      <c r="N94" s="201"/>
    </row>
    <row r="95" spans="1:14" x14ac:dyDescent="0.55000000000000004">
      <c r="A95" s="33" t="str">
        <f>IF(G95="VZ","",I95&amp;COUNTIF($I$4:I94,I95)+1)&amp;IF(K95&gt;0,"-N","")</f>
        <v>jul-ago1</v>
      </c>
      <c r="B95" s="29">
        <f>+Matrizes!B96</f>
        <v>39</v>
      </c>
      <c r="C95" s="94">
        <f>+Matrizes!C96</f>
        <v>1031</v>
      </c>
      <c r="D95" s="132">
        <v>45265</v>
      </c>
      <c r="E95" s="94">
        <f>+Matrizes!G96</f>
        <v>3</v>
      </c>
      <c r="F95" s="133">
        <f>IFERROR(+Matrizes!H96,"")</f>
        <v>15.477777777777776</v>
      </c>
      <c r="G95" s="134">
        <v>30</v>
      </c>
      <c r="H95" s="132">
        <f t="shared" si="12"/>
        <v>46229</v>
      </c>
      <c r="I95" s="135" t="str">
        <f t="shared" si="14"/>
        <v>jul-ago</v>
      </c>
      <c r="J95" s="79"/>
      <c r="K95" s="79"/>
      <c r="L95" s="79"/>
      <c r="M95" s="79"/>
      <c r="N95" s="201"/>
    </row>
    <row r="96" spans="1:14" x14ac:dyDescent="0.55000000000000004">
      <c r="A96" s="33" t="str">
        <f>IF(G96="VZ","",I96&amp;COUNTIF($I$4:I95,I96)+1)&amp;IF(K96&gt;0,"-N","")</f>
        <v>jun-jul1</v>
      </c>
      <c r="B96" s="29">
        <f>+Matrizes!B97</f>
        <v>40</v>
      </c>
      <c r="C96" s="94">
        <f>+Matrizes!C97</f>
        <v>1032</v>
      </c>
      <c r="D96" s="132">
        <f>+Matrizes!E97</f>
        <v>45667</v>
      </c>
      <c r="E96" s="94">
        <v>1</v>
      </c>
      <c r="F96" s="133">
        <v>9.5299999999999994</v>
      </c>
      <c r="G96" s="134">
        <v>45</v>
      </c>
      <c r="H96" s="132">
        <f t="shared" si="12"/>
        <v>46214</v>
      </c>
      <c r="I96" s="135" t="str">
        <f t="shared" si="14"/>
        <v>jun-jul</v>
      </c>
      <c r="J96" s="79"/>
      <c r="K96" s="195"/>
      <c r="L96" s="79"/>
      <c r="M96" s="79"/>
      <c r="N96" s="201"/>
    </row>
    <row r="97" spans="1:14 16384:16384" x14ac:dyDescent="0.55000000000000004">
      <c r="A97" s="33" t="str">
        <f>IF(G97="VZ","",I97&amp;COUNTIF($I$4:I96,I97)+1)&amp;IF(K97&gt;0,"-N","")</f>
        <v>mai-jun1</v>
      </c>
      <c r="B97" s="29">
        <f>+Matrizes!B98</f>
        <v>41</v>
      </c>
      <c r="C97" s="94">
        <f>+Matrizes!C98</f>
        <v>1033</v>
      </c>
      <c r="D97" s="132">
        <f>+Matrizes!E98</f>
        <v>45751</v>
      </c>
      <c r="E97" s="94">
        <f>+Matrizes!G98</f>
        <v>3</v>
      </c>
      <c r="F97" s="133">
        <f>IFERROR(+Matrizes!H98,"")</f>
        <v>12.933333333333332</v>
      </c>
      <c r="G97" s="134">
        <v>90</v>
      </c>
      <c r="H97" s="132">
        <f t="shared" si="12"/>
        <v>46169</v>
      </c>
      <c r="I97" s="135" t="str">
        <f t="shared" si="14"/>
        <v>mai-jun</v>
      </c>
      <c r="J97" s="79"/>
      <c r="K97" s="195"/>
      <c r="L97" s="79"/>
      <c r="M97" s="79"/>
      <c r="N97" s="201"/>
    </row>
    <row r="98" spans="1:14 16384:16384" hidden="1" x14ac:dyDescent="0.55000000000000004">
      <c r="A98" s="33" t="str">
        <f>IF(G98="VZ","",I98&amp;COUNTIF($I$4:I97,I98)+1)&amp;IF(K98&gt;0,"-N","")</f>
        <v>53</v>
      </c>
      <c r="B98" s="29">
        <f>+Matrizes!B99</f>
        <v>0</v>
      </c>
      <c r="C98" s="94">
        <f>+Matrizes!C99</f>
        <v>1034</v>
      </c>
      <c r="D98" s="132" t="str">
        <f>+Matrizes!E99</f>
        <v>Novilha</v>
      </c>
      <c r="E98" s="94">
        <v>0</v>
      </c>
      <c r="F98" s="133" t="str">
        <f>IFERROR(+Matrizes!H99,"")</f>
        <v/>
      </c>
      <c r="G98" s="134"/>
      <c r="H98" s="132" t="str">
        <f t="shared" si="12"/>
        <v/>
      </c>
      <c r="I98" s="135" t="str">
        <f t="shared" si="14"/>
        <v/>
      </c>
      <c r="J98" s="79"/>
      <c r="K98" s="195"/>
      <c r="L98" s="79"/>
      <c r="M98" s="79" t="s">
        <v>1071</v>
      </c>
      <c r="N98" s="201"/>
      <c r="XFD98" s="33">
        <v>1</v>
      </c>
    </row>
    <row r="99" spans="1:14 16384:16384" x14ac:dyDescent="0.55000000000000004">
      <c r="A99" s="33" t="str">
        <f>IF(G99="VZ","",I99&amp;COUNTIF($I$4:I98,I99)+1)&amp;IF(K99&gt;0,"-N","")</f>
        <v>nov-dez5-N</v>
      </c>
      <c r="B99" s="29">
        <f>+Matrizes!B100</f>
        <v>42</v>
      </c>
      <c r="C99" s="94">
        <f>+Matrizes!C100</f>
        <v>1035</v>
      </c>
      <c r="D99" s="132">
        <f>+Matrizes!E100</f>
        <v>45947</v>
      </c>
      <c r="E99" s="94">
        <f>+Matrizes!G100</f>
        <v>3</v>
      </c>
      <c r="F99" s="133">
        <f>IFERROR(+Matrizes!H100,"")</f>
        <v>14.755555555555555</v>
      </c>
      <c r="G99" s="134">
        <v>270</v>
      </c>
      <c r="H99" s="132">
        <f t="shared" si="12"/>
        <v>45989</v>
      </c>
      <c r="I99" s="135" t="str">
        <f t="shared" si="14"/>
        <v>nov-dez</v>
      </c>
      <c r="J99" s="79" t="s">
        <v>1163</v>
      </c>
      <c r="K99" s="195">
        <v>45947</v>
      </c>
      <c r="L99" s="79" t="s">
        <v>11</v>
      </c>
      <c r="M99" s="79">
        <v>1139</v>
      </c>
      <c r="N99" s="201"/>
    </row>
    <row r="100" spans="1:14 16384:16384" x14ac:dyDescent="0.55000000000000004">
      <c r="A100" s="33" t="str">
        <f>IF(G100="VZ","",I100&amp;COUNTIF($I$4:I99,I100)+1)&amp;IF(K100&gt;0,"-N","")</f>
        <v>jan-fev3-N</v>
      </c>
      <c r="B100" s="29">
        <f>+Matrizes!B101</f>
        <v>43</v>
      </c>
      <c r="C100" s="94">
        <f>+Matrizes!C101</f>
        <v>1036</v>
      </c>
      <c r="D100" s="132">
        <f>+Matrizes!E101</f>
        <v>45948</v>
      </c>
      <c r="E100" s="94">
        <f>+Matrizes!G101</f>
        <v>3</v>
      </c>
      <c r="F100" s="133">
        <f>IFERROR(+Matrizes!H101,"")</f>
        <v>14.988888888888889</v>
      </c>
      <c r="G100" s="134">
        <v>200</v>
      </c>
      <c r="H100" s="132">
        <f t="shared" si="12"/>
        <v>46059</v>
      </c>
      <c r="I100" s="135" t="str">
        <f t="shared" si="14"/>
        <v>jan-fev</v>
      </c>
      <c r="J100" s="79" t="s">
        <v>1163</v>
      </c>
      <c r="K100" s="195">
        <v>45948</v>
      </c>
      <c r="L100" s="79" t="s">
        <v>11</v>
      </c>
      <c r="M100" s="79">
        <v>1140</v>
      </c>
      <c r="N100" s="201"/>
    </row>
    <row r="101" spans="1:14 16384:16384" x14ac:dyDescent="0.55000000000000004">
      <c r="A101" s="33" t="str">
        <f>IF(G101="VZ","",I101&amp;COUNTIF($I$4:I100,I101)+1)&amp;IF(K101&gt;0,"-N","")</f>
        <v/>
      </c>
      <c r="B101" s="29">
        <f>+Matrizes!B102</f>
        <v>44</v>
      </c>
      <c r="C101" s="94">
        <f>+Matrizes!C102</f>
        <v>1037</v>
      </c>
      <c r="D101" s="132">
        <f>+Matrizes!E102</f>
        <v>45915</v>
      </c>
      <c r="E101" s="94">
        <f>+Matrizes!G102</f>
        <v>4</v>
      </c>
      <c r="F101" s="133">
        <f>IFERROR(+Matrizes!H102,"")</f>
        <v>11.3</v>
      </c>
      <c r="G101" s="134" t="s">
        <v>1160</v>
      </c>
      <c r="H101" s="132" t="str">
        <f t="shared" si="12"/>
        <v>xxxxx</v>
      </c>
      <c r="I101" s="135" t="str">
        <f t="shared" si="14"/>
        <v>xxxxx</v>
      </c>
      <c r="J101" s="79"/>
      <c r="K101" s="195"/>
      <c r="L101" s="79"/>
      <c r="M101" s="79"/>
      <c r="N101" s="201"/>
    </row>
    <row r="102" spans="1:14 16384:16384" x14ac:dyDescent="0.55000000000000004">
      <c r="A102" s="33" t="str">
        <f>IF(G102="VZ","",I102&amp;COUNTIF($I$4:I101,I102)+1)&amp;IF(K102&gt;0,"-N","")</f>
        <v/>
      </c>
      <c r="B102" s="29">
        <f>+Matrizes!B103</f>
        <v>45</v>
      </c>
      <c r="C102" s="94">
        <f>+Matrizes!C103</f>
        <v>1038</v>
      </c>
      <c r="D102" s="132">
        <f>+Matrizes!E103</f>
        <v>45943</v>
      </c>
      <c r="E102" s="94">
        <f>+Matrizes!G103</f>
        <v>4</v>
      </c>
      <c r="F102" s="133">
        <f>IFERROR(+Matrizes!H103,"")</f>
        <v>11.191666666666666</v>
      </c>
      <c r="G102" s="134" t="s">
        <v>1160</v>
      </c>
      <c r="H102" s="132" t="str">
        <f t="shared" si="12"/>
        <v>xxxxx</v>
      </c>
      <c r="I102" s="135" t="str">
        <f t="shared" si="14"/>
        <v>xxxxx</v>
      </c>
      <c r="J102" s="79"/>
      <c r="K102" s="79"/>
      <c r="L102" s="79"/>
      <c r="M102" s="79"/>
      <c r="N102" s="201"/>
    </row>
    <row r="103" spans="1:14 16384:16384" x14ac:dyDescent="0.55000000000000004">
      <c r="A103" s="33" t="str">
        <f>IF(G103="VZ","",I103&amp;COUNTIF($I$4:I102,I103)+1)&amp;IF(K103&gt;0,"-N","")</f>
        <v/>
      </c>
      <c r="B103" s="29">
        <f>+Matrizes!B104</f>
        <v>46</v>
      </c>
      <c r="C103" s="94">
        <f>+Matrizes!C104</f>
        <v>1039</v>
      </c>
      <c r="D103" s="132">
        <f>+Matrizes!E104</f>
        <v>45929</v>
      </c>
      <c r="E103" s="94">
        <f>+Matrizes!G104</f>
        <v>3</v>
      </c>
      <c r="F103" s="133">
        <f>IFERROR(+Matrizes!H104,"")</f>
        <v>15.266666666666666</v>
      </c>
      <c r="G103" s="134" t="s">
        <v>1160</v>
      </c>
      <c r="H103" s="132" t="str">
        <f t="shared" si="12"/>
        <v>xxxxx</v>
      </c>
      <c r="I103" s="135" t="str">
        <f t="shared" si="14"/>
        <v>xxxxx</v>
      </c>
      <c r="J103" s="79"/>
      <c r="K103" s="195"/>
      <c r="L103" s="79"/>
      <c r="M103" s="79"/>
      <c r="N103" s="201"/>
    </row>
    <row r="104" spans="1:14 16384:16384" x14ac:dyDescent="0.55000000000000004">
      <c r="A104" s="33" t="str">
        <f>IF(G104="VZ","",I104&amp;COUNTIF($I$4:I103,I104)+1)&amp;IF(K104&gt;0,"-N","")</f>
        <v/>
      </c>
      <c r="B104" s="29">
        <f>+Matrizes!B105</f>
        <v>47</v>
      </c>
      <c r="C104" s="94">
        <f>+Matrizes!C105</f>
        <v>1040</v>
      </c>
      <c r="D104" s="132">
        <f>+Matrizes!E105</f>
        <v>45927</v>
      </c>
      <c r="E104" s="94">
        <f>+Matrizes!G105</f>
        <v>3</v>
      </c>
      <c r="F104" s="133">
        <f>IFERROR(+Matrizes!H105,"")</f>
        <v>14.733333333333334</v>
      </c>
      <c r="G104" s="134" t="s">
        <v>1160</v>
      </c>
      <c r="H104" s="132" t="str">
        <f t="shared" si="12"/>
        <v>xxxxx</v>
      </c>
      <c r="I104" s="135" t="str">
        <f t="shared" si="14"/>
        <v>xxxxx</v>
      </c>
      <c r="J104" s="79"/>
      <c r="K104" s="195"/>
      <c r="L104" s="79"/>
      <c r="M104" s="79"/>
      <c r="N104" s="201"/>
    </row>
    <row r="105" spans="1:14 16384:16384" hidden="1" x14ac:dyDescent="0.55000000000000004">
      <c r="A105" s="33" t="str">
        <f>IF(G105="VZ","",I105&amp;COUNTIF($I$4:I104,I105)+1)&amp;IF(K105&gt;0,"-N","")</f>
        <v>54</v>
      </c>
      <c r="B105" s="29">
        <f>+Matrizes!B106</f>
        <v>0</v>
      </c>
      <c r="C105" s="94">
        <f>+Matrizes!C106</f>
        <v>1041</v>
      </c>
      <c r="D105" s="132">
        <f>+Matrizes!E106</f>
        <v>45113</v>
      </c>
      <c r="E105" s="94">
        <f>+Matrizes!G106</f>
        <v>1</v>
      </c>
      <c r="F105" s="133">
        <f>IFERROR(+Matrizes!H106,"")</f>
        <v>9.5333333333333332</v>
      </c>
      <c r="G105" s="134"/>
      <c r="H105" s="132" t="str">
        <f t="shared" si="12"/>
        <v/>
      </c>
      <c r="I105" s="135" t="str">
        <f t="shared" si="14"/>
        <v/>
      </c>
      <c r="J105" s="79"/>
      <c r="K105" s="195"/>
      <c r="L105" s="79"/>
      <c r="M105" s="79" t="s">
        <v>1094</v>
      </c>
      <c r="N105" s="201"/>
      <c r="XFD105" s="33">
        <v>1</v>
      </c>
    </row>
    <row r="106" spans="1:14 16384:16384" hidden="1" x14ac:dyDescent="0.55000000000000004">
      <c r="A106" s="33" t="str">
        <f>IF(G106="VZ","",I106&amp;COUNTIF($I$4:I105,I106)+1)&amp;IF(K106&gt;0,"-N","")</f>
        <v>55</v>
      </c>
      <c r="B106" s="29">
        <f>+Matrizes!B107</f>
        <v>0</v>
      </c>
      <c r="C106" s="94">
        <f>+Matrizes!C107</f>
        <v>1042</v>
      </c>
      <c r="D106" s="132">
        <f>+Matrizes!E107</f>
        <v>45789</v>
      </c>
      <c r="E106" s="94">
        <f>+Matrizes!G107</f>
        <v>3</v>
      </c>
      <c r="F106" s="133">
        <f>IFERROR(+Matrizes!H107,"")</f>
        <v>13.433333333333332</v>
      </c>
      <c r="G106" s="134"/>
      <c r="H106" s="132" t="str">
        <f t="shared" si="12"/>
        <v/>
      </c>
      <c r="I106" s="135" t="str">
        <f t="shared" si="14"/>
        <v/>
      </c>
      <c r="J106" s="79"/>
      <c r="K106" s="195"/>
      <c r="L106" s="79"/>
      <c r="M106" s="79"/>
      <c r="N106" s="201"/>
    </row>
    <row r="107" spans="1:14 16384:16384" x14ac:dyDescent="0.55000000000000004">
      <c r="A107" s="33" t="str">
        <f>IF(G107="VZ","",I107&amp;COUNTIF($I$4:I106,I107)+1)&amp;IF(K107&gt;0,"-N","")</f>
        <v/>
      </c>
      <c r="B107" s="29">
        <f>+Matrizes!B108</f>
        <v>48</v>
      </c>
      <c r="C107" s="94">
        <f>+Matrizes!C108</f>
        <v>1043</v>
      </c>
      <c r="D107" s="132">
        <f>+Matrizes!E108</f>
        <v>45910</v>
      </c>
      <c r="E107" s="94">
        <f>+Matrizes!G108</f>
        <v>4</v>
      </c>
      <c r="F107" s="133">
        <f>IFERROR(+Matrizes!H108,"")</f>
        <v>13.2</v>
      </c>
      <c r="G107" s="134" t="s">
        <v>1160</v>
      </c>
      <c r="H107" s="132" t="str">
        <f t="shared" si="12"/>
        <v>xxxxx</v>
      </c>
      <c r="I107" s="135" t="str">
        <f t="shared" si="14"/>
        <v>xxxxx</v>
      </c>
      <c r="J107" s="79"/>
      <c r="K107" s="195"/>
      <c r="L107" s="79"/>
      <c r="M107" s="79"/>
      <c r="N107" s="201"/>
    </row>
    <row r="108" spans="1:14 16384:16384" x14ac:dyDescent="0.55000000000000004">
      <c r="A108" s="33" t="str">
        <f>IF(G108="VZ","",I108&amp;COUNTIF($I$4:I107,I108)+1)&amp;IF(K108&gt;0,"-N","")</f>
        <v>nov-dez6-N</v>
      </c>
      <c r="B108" s="29">
        <f>+Matrizes!B109</f>
        <v>49</v>
      </c>
      <c r="C108" s="94">
        <f>+Matrizes!C109</f>
        <v>1044</v>
      </c>
      <c r="D108" s="132">
        <f>+Matrizes!E109</f>
        <v>45953</v>
      </c>
      <c r="E108" s="94">
        <f>+Matrizes!G109</f>
        <v>4</v>
      </c>
      <c r="F108" s="133">
        <f>IFERROR(+Matrizes!H109,"")</f>
        <v>13.641666666666667</v>
      </c>
      <c r="G108" s="134">
        <v>270</v>
      </c>
      <c r="H108" s="132">
        <f t="shared" si="12"/>
        <v>45989</v>
      </c>
      <c r="I108" s="135" t="str">
        <f t="shared" si="14"/>
        <v>nov-dez</v>
      </c>
      <c r="J108" s="79" t="s">
        <v>1163</v>
      </c>
      <c r="K108" s="195">
        <v>45958</v>
      </c>
      <c r="L108" s="79" t="s">
        <v>11</v>
      </c>
      <c r="M108" s="79">
        <v>1144</v>
      </c>
      <c r="N108" s="201"/>
    </row>
    <row r="109" spans="1:14 16384:16384" x14ac:dyDescent="0.55000000000000004">
      <c r="A109" s="33" t="str">
        <f>IF(G109="VZ","",I109&amp;COUNTIF($I$4:I108,I109)+1)&amp;IF(K109&gt;0,"-N","")</f>
        <v>mai-jun2</v>
      </c>
      <c r="B109" s="29">
        <f>+Matrizes!B110</f>
        <v>50</v>
      </c>
      <c r="C109" s="94">
        <f>+Matrizes!C110</f>
        <v>1045</v>
      </c>
      <c r="D109" s="132">
        <f>+Matrizes!E110</f>
        <v>45711</v>
      </c>
      <c r="E109" s="94">
        <f>+Matrizes!G110</f>
        <v>2</v>
      </c>
      <c r="F109" s="133">
        <f>IFERROR(+Matrizes!H110,"")</f>
        <v>17.850000000000001</v>
      </c>
      <c r="G109" s="134">
        <v>90</v>
      </c>
      <c r="H109" s="132">
        <f t="shared" si="12"/>
        <v>46169</v>
      </c>
      <c r="I109" s="135" t="str">
        <f t="shared" si="14"/>
        <v>mai-jun</v>
      </c>
      <c r="J109" s="79"/>
      <c r="K109" s="79"/>
      <c r="L109" s="79"/>
      <c r="M109" s="79"/>
      <c r="N109" s="201"/>
    </row>
    <row r="110" spans="1:14 16384:16384" x14ac:dyDescent="0.55000000000000004">
      <c r="A110" s="33" t="str">
        <f>IF(G110="VZ","",I110&amp;COUNTIF($I$4:I109,I110)+1)&amp;IF(K110&gt;0,"-N","")</f>
        <v>mar-abr7-N</v>
      </c>
      <c r="B110" s="29">
        <f>+Matrizes!B111</f>
        <v>51</v>
      </c>
      <c r="C110" s="94">
        <f>+Matrizes!C111</f>
        <v>1046</v>
      </c>
      <c r="D110" s="132">
        <f>+Matrizes!E111</f>
        <v>46105</v>
      </c>
      <c r="E110" s="94">
        <f>+Matrizes!G111</f>
        <v>3</v>
      </c>
      <c r="F110" s="133">
        <f>IFERROR(+Matrizes!H111,"")</f>
        <v>13.78888888888889</v>
      </c>
      <c r="G110" s="134">
        <v>160</v>
      </c>
      <c r="H110" s="132">
        <f t="shared" si="12"/>
        <v>46099</v>
      </c>
      <c r="I110" s="135" t="str">
        <f t="shared" si="14"/>
        <v>mar-abr</v>
      </c>
      <c r="J110" s="79" t="s">
        <v>1120</v>
      </c>
      <c r="K110" s="195">
        <v>46105</v>
      </c>
      <c r="L110" s="79" t="s">
        <v>12</v>
      </c>
      <c r="M110" s="79">
        <v>1159</v>
      </c>
      <c r="N110" s="201"/>
    </row>
    <row r="111" spans="1:14 16384:16384" x14ac:dyDescent="0.55000000000000004">
      <c r="A111" s="33" t="str">
        <f>IF(G111="VZ","",I111&amp;COUNTIF($I$4:I110,I111)+1)&amp;IF(K111&gt;0,"-N","")</f>
        <v>fev-mar1</v>
      </c>
      <c r="B111" s="29">
        <f>+Matrizes!B112</f>
        <v>52</v>
      </c>
      <c r="C111" s="94">
        <f>+Matrizes!C112</f>
        <v>1047</v>
      </c>
      <c r="D111" s="132">
        <f>+Matrizes!E112</f>
        <v>46108</v>
      </c>
      <c r="E111" s="94">
        <f>+Matrizes!G112</f>
        <v>2</v>
      </c>
      <c r="F111" s="133">
        <f>IFERROR(+Matrizes!H112,"")</f>
        <v>13.283333333333333</v>
      </c>
      <c r="G111" s="134">
        <v>190</v>
      </c>
      <c r="H111" s="132">
        <f t="shared" ref="H111:H129" si="15">IFERROR(IF(G111&gt;0,+$D$2-G111+285,""),"xxxxx")</f>
        <v>46069</v>
      </c>
      <c r="I111" s="135" t="str">
        <f t="shared" ref="I111:I129" si="16">IFERROR(IF(G111&gt;0,IF(DAY(+$D$2-G111+285)&lt;=15,TEXT(+$D$2-G111+285-20,"Mmm")&amp;"-"&amp;TEXT(+$D$2-G111+285,"mmm"),TEXT(+$D$2-G111+285,"Mmm")&amp;"-"&amp;TEXT(+$D$2-G111+285+20,"mmm")),""),"xxxxx")</f>
        <v>fev-mar</v>
      </c>
      <c r="J111" s="79"/>
      <c r="K111" s="79"/>
      <c r="L111" s="79"/>
      <c r="M111" s="79"/>
      <c r="N111" s="201"/>
    </row>
    <row r="112" spans="1:14 16384:16384" x14ac:dyDescent="0.55000000000000004">
      <c r="A112" s="33" t="str">
        <f>IF(G112="VZ","",I112&amp;COUNTIF($I$4:I111,I112)+1)&amp;IF(K112&gt;0,"-N","")</f>
        <v/>
      </c>
      <c r="B112" s="29">
        <f>+Matrizes!B113</f>
        <v>53</v>
      </c>
      <c r="C112" s="94">
        <f>+Matrizes!C113</f>
        <v>1048</v>
      </c>
      <c r="D112" s="132">
        <f>+Matrizes!E113</f>
        <v>45797</v>
      </c>
      <c r="E112" s="94">
        <f>+Matrizes!G113</f>
        <v>1</v>
      </c>
      <c r="F112" s="133">
        <f>IFERROR(+Matrizes!H113,"")</f>
        <v>9.5333333333333332</v>
      </c>
      <c r="G112" s="134" t="s">
        <v>1160</v>
      </c>
      <c r="H112" s="132" t="str">
        <f t="shared" si="15"/>
        <v>xxxxx</v>
      </c>
      <c r="I112" s="135" t="str">
        <f t="shared" si="16"/>
        <v>xxxxx</v>
      </c>
      <c r="J112" s="79"/>
      <c r="K112" s="195"/>
      <c r="L112" s="79"/>
      <c r="M112" s="79"/>
      <c r="N112" s="201"/>
    </row>
    <row r="113" spans="1:14" x14ac:dyDescent="0.55000000000000004">
      <c r="A113" s="33" t="str">
        <f>IF(G113="VZ","",I113&amp;COUNTIF($I$4:I112,I113)+1)&amp;IF(K113&gt;0,"-N","")</f>
        <v>nov-dez7-N</v>
      </c>
      <c r="B113" s="29">
        <f>+Matrizes!B114</f>
        <v>54</v>
      </c>
      <c r="C113" s="94">
        <f>+Matrizes!C114</f>
        <v>1049</v>
      </c>
      <c r="D113" s="132">
        <f>+Matrizes!E114</f>
        <v>45979</v>
      </c>
      <c r="E113" s="94">
        <f>+Matrizes!G114</f>
        <v>1</v>
      </c>
      <c r="F113" s="133">
        <f>IFERROR(+Matrizes!H114,"")</f>
        <v>9.5333333333333332</v>
      </c>
      <c r="G113" s="134">
        <v>270</v>
      </c>
      <c r="H113" s="132">
        <f t="shared" si="15"/>
        <v>45989</v>
      </c>
      <c r="I113" s="135" t="str">
        <f t="shared" si="16"/>
        <v>nov-dez</v>
      </c>
      <c r="J113" s="79" t="s">
        <v>1163</v>
      </c>
      <c r="K113" s="195">
        <v>45979</v>
      </c>
      <c r="L113" s="79" t="s">
        <v>11</v>
      </c>
      <c r="M113" s="79">
        <v>1148</v>
      </c>
      <c r="N113" s="201"/>
    </row>
    <row r="114" spans="1:14" x14ac:dyDescent="0.55000000000000004">
      <c r="A114" s="33" t="str">
        <f>IF(G114="VZ","",I114&amp;COUNTIF($I$4:I113,I114)+1)&amp;IF(K114&gt;0,"-N","")</f>
        <v>nov-dez8-N</v>
      </c>
      <c r="B114" s="29">
        <f>+Matrizes!B115</f>
        <v>55</v>
      </c>
      <c r="C114" s="94">
        <f>+Matrizes!C115</f>
        <v>1050</v>
      </c>
      <c r="D114" s="132">
        <f>+Matrizes!E115</f>
        <v>45978</v>
      </c>
      <c r="E114" s="199" t="s">
        <v>1164</v>
      </c>
      <c r="F114" s="133">
        <f>IFERROR(+Matrizes!H115,"")</f>
        <v>9.5333333333333332</v>
      </c>
      <c r="G114" s="134">
        <v>270</v>
      </c>
      <c r="H114" s="132">
        <f t="shared" si="15"/>
        <v>45989</v>
      </c>
      <c r="I114" s="135" t="str">
        <f t="shared" si="16"/>
        <v>nov-dez</v>
      </c>
      <c r="J114" s="79" t="s">
        <v>1163</v>
      </c>
      <c r="K114" s="195">
        <v>45978</v>
      </c>
      <c r="L114" s="79" t="s">
        <v>11</v>
      </c>
      <c r="M114" s="79">
        <v>1147</v>
      </c>
      <c r="N114" s="201"/>
    </row>
    <row r="115" spans="1:14" x14ac:dyDescent="0.55000000000000004">
      <c r="A115" s="33" t="str">
        <f>IF(G115="VZ","",I115&amp;COUNTIF($I$4:I114,I115)+1)&amp;IF(K115&gt;0,"-N","")</f>
        <v>nov-dez9-N</v>
      </c>
      <c r="B115" s="29">
        <f>+Matrizes!B116</f>
        <v>56</v>
      </c>
      <c r="C115" s="94">
        <f>+Matrizes!C116</f>
        <v>1051</v>
      </c>
      <c r="D115" s="132">
        <f>+Matrizes!E116</f>
        <v>45946</v>
      </c>
      <c r="E115" s="94">
        <f>+Matrizes!G116</f>
        <v>2</v>
      </c>
      <c r="F115" s="133">
        <f>IFERROR(+Matrizes!H116,"")</f>
        <v>11.1</v>
      </c>
      <c r="G115" s="134">
        <v>270</v>
      </c>
      <c r="H115" s="132">
        <f t="shared" si="15"/>
        <v>45989</v>
      </c>
      <c r="I115" s="135" t="str">
        <f t="shared" si="16"/>
        <v>nov-dez</v>
      </c>
      <c r="J115" s="79" t="s">
        <v>1163</v>
      </c>
      <c r="K115" s="195">
        <v>45946</v>
      </c>
      <c r="L115" s="79" t="s">
        <v>12</v>
      </c>
      <c r="M115" s="79">
        <v>1137</v>
      </c>
      <c r="N115" s="201"/>
    </row>
    <row r="116" spans="1:14" x14ac:dyDescent="0.55000000000000004">
      <c r="A116" s="33" t="str">
        <f>IF(G116="VZ","",I116&amp;COUNTIF($I$4:I115,I116)+1)&amp;IF(K116&gt;0,"-N","")</f>
        <v/>
      </c>
      <c r="B116" s="29">
        <f>+Matrizes!B117</f>
        <v>57</v>
      </c>
      <c r="C116" s="94">
        <f>+Matrizes!C117</f>
        <v>1052</v>
      </c>
      <c r="D116" s="132">
        <f>+Matrizes!E117</f>
        <v>45919</v>
      </c>
      <c r="E116" s="94">
        <f>+Matrizes!G117</f>
        <v>1</v>
      </c>
      <c r="F116" s="133">
        <f>IFERROR(+Matrizes!H117,"")</f>
        <v>9.5333333333333332</v>
      </c>
      <c r="G116" s="134" t="s">
        <v>1160</v>
      </c>
      <c r="H116" s="132" t="str">
        <f t="shared" si="15"/>
        <v>xxxxx</v>
      </c>
      <c r="I116" s="135" t="str">
        <f t="shared" si="16"/>
        <v>xxxxx</v>
      </c>
      <c r="J116" s="79"/>
      <c r="K116" s="195"/>
      <c r="L116" s="79"/>
      <c r="M116" s="79"/>
      <c r="N116" s="201"/>
    </row>
    <row r="117" spans="1:14" x14ac:dyDescent="0.55000000000000004">
      <c r="A117" s="33" t="str">
        <f>IF(G117="VZ","",I117&amp;COUNTIF($I$4:I116,I117)+1)&amp;IF(K117&gt;0,"-N","")</f>
        <v/>
      </c>
      <c r="B117" s="29">
        <f>+Matrizes!B118</f>
        <v>58</v>
      </c>
      <c r="C117" s="94">
        <f>+Matrizes!C118</f>
        <v>1053</v>
      </c>
      <c r="D117" s="132" t="str">
        <f>+Matrizes!E118</f>
        <v>Novilha</v>
      </c>
      <c r="E117" s="94">
        <f>+Matrizes!G118</f>
        <v>0</v>
      </c>
      <c r="F117" s="133" t="str">
        <f>IFERROR(+Matrizes!H118,"")</f>
        <v/>
      </c>
      <c r="G117" s="134" t="s">
        <v>1160</v>
      </c>
      <c r="H117" s="132" t="str">
        <f t="shared" si="15"/>
        <v>xxxxx</v>
      </c>
      <c r="I117" s="135" t="str">
        <f t="shared" si="16"/>
        <v>xxxxx</v>
      </c>
      <c r="J117" s="79"/>
      <c r="K117" s="79"/>
      <c r="L117" s="79"/>
      <c r="M117" s="79"/>
      <c r="N117" s="201"/>
    </row>
    <row r="118" spans="1:14" x14ac:dyDescent="0.55000000000000004">
      <c r="A118" s="33" t="str">
        <f>IF(G118="VZ","",I118&amp;COUNTIF($I$4:I117,I118)+1)&amp;IF(K118&gt;0,"-N","")</f>
        <v/>
      </c>
      <c r="B118" s="29">
        <f>+Matrizes!B119</f>
        <v>59</v>
      </c>
      <c r="C118" s="94">
        <f>+Matrizes!C119</f>
        <v>1054</v>
      </c>
      <c r="D118" s="132">
        <f>+Matrizes!E119</f>
        <v>45866</v>
      </c>
      <c r="E118" s="132">
        <f>+Matrizes!E111</f>
        <v>46105</v>
      </c>
      <c r="F118" s="133">
        <f>IFERROR(+Matrizes!H119,"")</f>
        <v>9.5333333333333332</v>
      </c>
      <c r="G118" s="134" t="s">
        <v>1160</v>
      </c>
      <c r="H118" s="132" t="str">
        <f t="shared" si="15"/>
        <v>xxxxx</v>
      </c>
      <c r="I118" s="135" t="str">
        <f t="shared" si="16"/>
        <v>xxxxx</v>
      </c>
      <c r="J118" s="79"/>
      <c r="K118" s="195"/>
      <c r="L118" s="79"/>
      <c r="M118" s="79"/>
      <c r="N118" s="201"/>
    </row>
    <row r="119" spans="1:14" x14ac:dyDescent="0.55000000000000004">
      <c r="A119" s="33" t="str">
        <f>IF(G119="VZ","",I119&amp;COUNTIF($I$4:I118,I119)+1)&amp;IF(K119&gt;0,"-N","")</f>
        <v>nov-dez10-N</v>
      </c>
      <c r="B119" s="29">
        <f>+Matrizes!B120</f>
        <v>60</v>
      </c>
      <c r="C119" s="94">
        <f>+Matrizes!C120</f>
        <v>1055</v>
      </c>
      <c r="D119" s="132">
        <f>+Matrizes!E120</f>
        <v>45975</v>
      </c>
      <c r="E119" s="94">
        <f>+Matrizes!G120</f>
        <v>1</v>
      </c>
      <c r="F119" s="133">
        <f>IFERROR(+Matrizes!H120,"")</f>
        <v>9.5333333333333332</v>
      </c>
      <c r="G119" s="134">
        <v>270</v>
      </c>
      <c r="H119" s="132">
        <f t="shared" si="15"/>
        <v>45989</v>
      </c>
      <c r="I119" s="135" t="str">
        <f t="shared" si="16"/>
        <v>nov-dez</v>
      </c>
      <c r="J119" s="79" t="s">
        <v>1163</v>
      </c>
      <c r="K119" s="195">
        <v>45975</v>
      </c>
      <c r="L119" s="79" t="s">
        <v>11</v>
      </c>
      <c r="M119" s="79">
        <v>1146</v>
      </c>
      <c r="N119" s="201"/>
    </row>
    <row r="120" spans="1:14" x14ac:dyDescent="0.55000000000000004">
      <c r="A120" s="33" t="str">
        <f>IF(G120="VZ","",I120&amp;COUNTIF($I$4:I119,I120)+1)&amp;IF(K120&gt;0,"-N","")</f>
        <v/>
      </c>
      <c r="B120" s="29">
        <f>+Matrizes!B121</f>
        <v>61</v>
      </c>
      <c r="C120" s="94">
        <f>+Matrizes!C121</f>
        <v>1056</v>
      </c>
      <c r="D120" s="132">
        <f>+Matrizes!E121</f>
        <v>45898</v>
      </c>
      <c r="E120" s="94">
        <f>+Matrizes!G121</f>
        <v>1</v>
      </c>
      <c r="F120" s="133">
        <f>IFERROR(+Matrizes!H121,"")</f>
        <v>9.5333333333333332</v>
      </c>
      <c r="G120" s="134" t="s">
        <v>1160</v>
      </c>
      <c r="H120" s="132" t="str">
        <f t="shared" si="15"/>
        <v>xxxxx</v>
      </c>
      <c r="I120" s="135" t="str">
        <f t="shared" si="16"/>
        <v>xxxxx</v>
      </c>
      <c r="J120" s="79"/>
      <c r="K120" s="195"/>
      <c r="L120" s="79"/>
      <c r="M120" s="79"/>
      <c r="N120" s="201"/>
    </row>
    <row r="121" spans="1:14" x14ac:dyDescent="0.55000000000000004">
      <c r="A121" s="33" t="str">
        <f>IF(G121="VZ","",I121&amp;COUNTIF($I$4:I120,I121)+1)&amp;IF(K121&gt;0,"-N","")</f>
        <v>jan-fev4-N</v>
      </c>
      <c r="B121" s="29">
        <f>+Matrizes!B122</f>
        <v>62</v>
      </c>
      <c r="C121" s="94">
        <f>+Matrizes!C122</f>
        <v>1057</v>
      </c>
      <c r="D121" s="132">
        <f>+Matrizes!E122</f>
        <v>46079</v>
      </c>
      <c r="E121" s="94">
        <f>+Matrizes!G122</f>
        <v>1</v>
      </c>
      <c r="F121" s="133">
        <f>IFERROR(+Matrizes!H122,"")</f>
        <v>9.5333333333333332</v>
      </c>
      <c r="G121" s="134">
        <v>210</v>
      </c>
      <c r="H121" s="132">
        <f t="shared" si="15"/>
        <v>46049</v>
      </c>
      <c r="I121" s="135" t="str">
        <f t="shared" si="16"/>
        <v>jan-fev</v>
      </c>
      <c r="J121" s="79" t="s">
        <v>1194</v>
      </c>
      <c r="K121" s="195">
        <v>46079</v>
      </c>
      <c r="L121" s="79" t="s">
        <v>11</v>
      </c>
      <c r="M121" s="79">
        <v>1154</v>
      </c>
      <c r="N121" s="201"/>
    </row>
    <row r="122" spans="1:14" x14ac:dyDescent="0.55000000000000004">
      <c r="A122" s="33" t="str">
        <f>IF(G122="VZ","",I122&amp;COUNTIF($I$4:I121,I122)+1)&amp;IF(K122&gt;0,"-N","")</f>
        <v>fev-mar2</v>
      </c>
      <c r="B122" s="29">
        <f>+Matrizes!B123</f>
        <v>63</v>
      </c>
      <c r="C122" s="94">
        <f>+Matrizes!C123</f>
        <v>1058</v>
      </c>
      <c r="D122" s="132">
        <f>+Matrizes!E123</f>
        <v>45809</v>
      </c>
      <c r="E122" s="94">
        <f>+Matrizes!G123</f>
        <v>1</v>
      </c>
      <c r="F122" s="133">
        <f>IFERROR(+Matrizes!H123,"")</f>
        <v>9.5333333333333332</v>
      </c>
      <c r="G122" s="134">
        <v>190</v>
      </c>
      <c r="H122" s="132">
        <f t="shared" si="15"/>
        <v>46069</v>
      </c>
      <c r="I122" s="135" t="str">
        <f t="shared" si="16"/>
        <v>fev-mar</v>
      </c>
      <c r="J122" s="79"/>
      <c r="K122" s="195"/>
      <c r="L122" s="79"/>
      <c r="M122" s="79"/>
      <c r="N122" s="201"/>
    </row>
    <row r="123" spans="1:14" x14ac:dyDescent="0.55000000000000004">
      <c r="A123" s="33" t="str">
        <f>IF(G123="VZ","",I123&amp;COUNTIF($I$4:I122,I123)+1)&amp;IF(K123&gt;0,"-N","")</f>
        <v>fev-mar3-N</v>
      </c>
      <c r="B123" s="29">
        <f>+Matrizes!B124</f>
        <v>64</v>
      </c>
      <c r="C123" s="94">
        <v>1059</v>
      </c>
      <c r="D123" s="132">
        <f>+Matrizes!E124</f>
        <v>46096</v>
      </c>
      <c r="E123" s="94">
        <f>+Matrizes!G124</f>
        <v>2</v>
      </c>
      <c r="F123" s="133">
        <f>IFERROR(+Matrizes!H124,"")</f>
        <v>13.166666666666666</v>
      </c>
      <c r="G123" s="134">
        <v>190</v>
      </c>
      <c r="H123" s="132">
        <f t="shared" si="15"/>
        <v>46069</v>
      </c>
      <c r="I123" s="135" t="str">
        <f t="shared" si="16"/>
        <v>fev-mar</v>
      </c>
      <c r="J123" s="79" t="s">
        <v>1119</v>
      </c>
      <c r="K123" s="195">
        <v>46096</v>
      </c>
      <c r="L123" s="79" t="s">
        <v>11</v>
      </c>
      <c r="M123" s="79">
        <v>1157</v>
      </c>
      <c r="N123" s="201"/>
    </row>
    <row r="124" spans="1:14" x14ac:dyDescent="0.55000000000000004">
      <c r="A124" s="33" t="str">
        <f>IF(G124="VZ","",I124&amp;COUNTIF($I$4:I123,I124)+1)&amp;IF(K124&gt;0,"-N","")</f>
        <v/>
      </c>
      <c r="B124" s="29">
        <f>+Matrizes!B125</f>
        <v>65</v>
      </c>
      <c r="C124" s="94">
        <f>+Matrizes!C125</f>
        <v>1060</v>
      </c>
      <c r="D124" s="132">
        <f>+Matrizes!E125</f>
        <v>45890</v>
      </c>
      <c r="E124" s="94">
        <f>+Matrizes!G125</f>
        <v>1</v>
      </c>
      <c r="F124" s="133">
        <f>IFERROR(+Matrizes!H125,"")</f>
        <v>9.5333333333333332</v>
      </c>
      <c r="G124" s="134" t="s">
        <v>1160</v>
      </c>
      <c r="H124" s="132" t="str">
        <f t="shared" si="15"/>
        <v>xxxxx</v>
      </c>
      <c r="I124" s="135" t="str">
        <f t="shared" si="16"/>
        <v>xxxxx</v>
      </c>
      <c r="J124" s="79"/>
      <c r="K124" s="195"/>
      <c r="L124" s="79"/>
      <c r="M124" s="79"/>
      <c r="N124" s="201"/>
    </row>
    <row r="125" spans="1:14" x14ac:dyDescent="0.55000000000000004">
      <c r="A125" s="33" t="str">
        <f>IF(G125="VZ","",I125&amp;COUNTIF($I$4:I124,I125)+1)&amp;IF(K125&gt;0,"-N","")</f>
        <v>fev-mar4</v>
      </c>
      <c r="B125" s="29">
        <f>+Matrizes!B126</f>
        <v>66</v>
      </c>
      <c r="C125" s="94">
        <f>+Matrizes!C126</f>
        <v>1061</v>
      </c>
      <c r="D125" s="132">
        <f>+Matrizes!E126</f>
        <v>45844</v>
      </c>
      <c r="E125" s="94">
        <f>+Matrizes!G126</f>
        <v>1</v>
      </c>
      <c r="F125" s="133">
        <f>IFERROR(+Matrizes!H126,"")</f>
        <v>9.5333333333333332</v>
      </c>
      <c r="G125" s="134">
        <v>190</v>
      </c>
      <c r="H125" s="132">
        <f t="shared" si="15"/>
        <v>46069</v>
      </c>
      <c r="I125" s="135" t="str">
        <f t="shared" si="16"/>
        <v>fev-mar</v>
      </c>
      <c r="J125" s="79"/>
      <c r="K125" s="195"/>
      <c r="L125" s="79"/>
      <c r="M125" s="79"/>
      <c r="N125" s="201"/>
    </row>
    <row r="126" spans="1:14" x14ac:dyDescent="0.55000000000000004">
      <c r="A126" s="33" t="str">
        <f>IF(G126="VZ","",I126&amp;COUNTIF($I$4:I125,I126)+1)&amp;IF(K126&gt;0,"-N","")</f>
        <v>dez-jan2-N</v>
      </c>
      <c r="B126" s="29">
        <f>+Matrizes!B127</f>
        <v>67</v>
      </c>
      <c r="C126" s="94">
        <f>+Matrizes!C127</f>
        <v>1062</v>
      </c>
      <c r="D126" s="132">
        <f>+Matrizes!E127</f>
        <v>46037</v>
      </c>
      <c r="E126" s="94">
        <f>+Matrizes!G127</f>
        <v>1</v>
      </c>
      <c r="F126" s="133">
        <f>IFERROR(+Matrizes!H127,"")</f>
        <v>9.5333333333333332</v>
      </c>
      <c r="G126" s="134">
        <v>250</v>
      </c>
      <c r="H126" s="132">
        <f t="shared" si="15"/>
        <v>46009</v>
      </c>
      <c r="I126" s="135" t="str">
        <f t="shared" si="16"/>
        <v>dez-jan</v>
      </c>
      <c r="J126" s="79" t="s">
        <v>11</v>
      </c>
      <c r="K126" s="195">
        <v>46037</v>
      </c>
      <c r="L126" s="79" t="s">
        <v>11</v>
      </c>
      <c r="M126" s="79">
        <v>1152</v>
      </c>
      <c r="N126" s="201"/>
    </row>
    <row r="127" spans="1:14" x14ac:dyDescent="0.55000000000000004">
      <c r="A127" s="33" t="str">
        <f>IF(G127="VZ","",I127&amp;COUNTIF($I$4:I126,I127)+1)&amp;IF(K127&gt;0,"-N","")</f>
        <v/>
      </c>
      <c r="B127" s="29">
        <f>+Matrizes!B128</f>
        <v>68</v>
      </c>
      <c r="C127" s="94">
        <f>+Matrizes!C128</f>
        <v>1063</v>
      </c>
      <c r="D127" s="132" t="str">
        <f>+Matrizes!E128</f>
        <v>Novilha</v>
      </c>
      <c r="E127" s="94">
        <f>+Matrizes!G128</f>
        <v>0</v>
      </c>
      <c r="F127" s="133" t="str">
        <f>IFERROR(+Matrizes!H128,"")</f>
        <v/>
      </c>
      <c r="G127" s="134" t="s">
        <v>1160</v>
      </c>
      <c r="H127" s="132" t="str">
        <f t="shared" si="15"/>
        <v>xxxxx</v>
      </c>
      <c r="I127" s="135" t="str">
        <f t="shared" si="16"/>
        <v>xxxxx</v>
      </c>
      <c r="J127" s="79"/>
      <c r="K127" s="195"/>
      <c r="L127" s="79"/>
      <c r="M127" s="79"/>
      <c r="N127" s="201"/>
    </row>
    <row r="128" spans="1:14" x14ac:dyDescent="0.55000000000000004">
      <c r="A128" s="33" t="str">
        <f>IF(G128="VZ","",I128&amp;COUNTIF($I$4:I127,I128)+1)&amp;IF(K128&gt;0,"-N","")</f>
        <v/>
      </c>
      <c r="B128" s="29">
        <f>+Matrizes!B129</f>
        <v>69</v>
      </c>
      <c r="C128" s="94">
        <f>+Matrizes!C129</f>
        <v>1064</v>
      </c>
      <c r="D128" s="132" t="str">
        <f>+Matrizes!E129</f>
        <v>Novilha</v>
      </c>
      <c r="E128" s="94">
        <f>+Matrizes!G129</f>
        <v>0</v>
      </c>
      <c r="F128" s="133" t="str">
        <f>IFERROR(+Matrizes!H129,"")</f>
        <v/>
      </c>
      <c r="G128" s="134" t="s">
        <v>1160</v>
      </c>
      <c r="H128" s="132" t="str">
        <f t="shared" si="15"/>
        <v>xxxxx</v>
      </c>
      <c r="I128" s="135" t="str">
        <f t="shared" si="16"/>
        <v>xxxxx</v>
      </c>
      <c r="J128" s="79"/>
      <c r="K128" s="195"/>
      <c r="L128" s="79"/>
      <c r="M128" s="79"/>
      <c r="N128" s="201"/>
    </row>
    <row r="129" spans="1:14" x14ac:dyDescent="0.55000000000000004">
      <c r="A129" s="33" t="str">
        <f>IF(G129="VZ","",I129&amp;COUNTIF($I$4:I128,I129)+1)&amp;IF(K129&gt;0,"-N","")</f>
        <v/>
      </c>
      <c r="B129" s="29">
        <f>+Matrizes!B130</f>
        <v>70</v>
      </c>
      <c r="C129" s="94">
        <f>+Matrizes!C130</f>
        <v>1065</v>
      </c>
      <c r="D129" s="132" t="str">
        <f>+Matrizes!E130</f>
        <v>Novilha</v>
      </c>
      <c r="E129" s="94">
        <f>+Matrizes!G130</f>
        <v>0</v>
      </c>
      <c r="F129" s="133" t="str">
        <f>IFERROR(+Matrizes!H130,"")</f>
        <v/>
      </c>
      <c r="G129" s="134" t="s">
        <v>1160</v>
      </c>
      <c r="H129" s="132" t="str">
        <f t="shared" si="15"/>
        <v>xxxxx</v>
      </c>
      <c r="I129" s="135" t="str">
        <f t="shared" si="16"/>
        <v>xxxxx</v>
      </c>
      <c r="J129" s="79"/>
      <c r="K129" s="195"/>
      <c r="L129" s="79"/>
      <c r="M129" s="79"/>
      <c r="N129" s="201"/>
    </row>
    <row r="130" spans="1:14" x14ac:dyDescent="0.55000000000000004">
      <c r="A130" s="33" t="str">
        <f>IF(G130="VZ","",I130&amp;COUNTIF($I$4:I129,I130)+1)&amp;IF(K130&gt;0,"-N","")</f>
        <v/>
      </c>
      <c r="B130" s="29">
        <f>+Matrizes!B131</f>
        <v>71</v>
      </c>
      <c r="C130" s="94">
        <f>+Matrizes!C131</f>
        <v>1066</v>
      </c>
      <c r="D130" s="132" t="str">
        <f>+Matrizes!E131</f>
        <v>Novilha</v>
      </c>
      <c r="E130" s="94">
        <f>+Matrizes!G131</f>
        <v>0</v>
      </c>
      <c r="F130" s="133" t="str">
        <f>IFERROR(+Matrizes!H131,"")</f>
        <v/>
      </c>
      <c r="G130" s="134" t="s">
        <v>1160</v>
      </c>
      <c r="H130" s="132" t="str">
        <f t="shared" ref="H130:H148" si="17">IFERROR(IF(G130&gt;0,+$D$2-G130+285,""),"xxxxx")</f>
        <v>xxxxx</v>
      </c>
      <c r="I130" s="135" t="str">
        <f t="shared" ref="I130:I132" si="18">IFERROR(IF(G130&gt;0,IF(DAY(+$D$2-G130+285)&lt;=15,TEXT(+$D$2-G130+285-20,"Mmm")&amp;"-"&amp;TEXT(+$D$2-G130+285,"mmm"),TEXT(+$D$2-G130+285,"Mmm")&amp;"-"&amp;TEXT(+$D$2-G130+285+20,"mmm")),""),"xxxxx")</f>
        <v>xxxxx</v>
      </c>
      <c r="J130" s="79"/>
      <c r="K130" s="195"/>
      <c r="L130" s="79"/>
      <c r="M130" s="79"/>
      <c r="N130" s="201"/>
    </row>
    <row r="131" spans="1:14" x14ac:dyDescent="0.55000000000000004">
      <c r="A131" s="33" t="str">
        <f>IF(G131="VZ","",I131&amp;COUNTIF($I$4:I130,I131)+1)&amp;IF(K131&gt;0,"-N","")</f>
        <v/>
      </c>
      <c r="B131" s="29">
        <f>+Matrizes!B132</f>
        <v>72</v>
      </c>
      <c r="C131" s="94">
        <f>+Matrizes!C132</f>
        <v>1067</v>
      </c>
      <c r="D131" s="132" t="str">
        <f>+Matrizes!E132</f>
        <v>Novilha</v>
      </c>
      <c r="E131" s="94">
        <f>+Matrizes!G132</f>
        <v>0</v>
      </c>
      <c r="F131" s="133" t="str">
        <f>IFERROR(+Matrizes!H132,"")</f>
        <v/>
      </c>
      <c r="G131" s="134" t="s">
        <v>1160</v>
      </c>
      <c r="H131" s="132" t="str">
        <f t="shared" si="17"/>
        <v>xxxxx</v>
      </c>
      <c r="I131" s="135" t="str">
        <f t="shared" si="18"/>
        <v>xxxxx</v>
      </c>
      <c r="J131" s="79"/>
      <c r="K131" s="195"/>
      <c r="L131" s="79"/>
      <c r="M131" s="79"/>
      <c r="N131" s="201"/>
    </row>
    <row r="132" spans="1:14" hidden="1" x14ac:dyDescent="0.55000000000000004">
      <c r="A132" s="33" t="str">
        <f>IF(G132="VZ","",I132&amp;COUNTIF($I$4:I131,I132)+1)&amp;IF(K132&gt;0,"-N","")</f>
        <v>56</v>
      </c>
      <c r="B132" s="29" t="str">
        <f>+Matrizes!B133</f>
        <v/>
      </c>
      <c r="C132" s="55">
        <f>+Matrizes!C133</f>
        <v>0</v>
      </c>
      <c r="D132" s="93" t="str">
        <f>+Matrizes!E133</f>
        <v/>
      </c>
      <c r="E132" s="29" t="str">
        <f>+Matrizes!G133</f>
        <v/>
      </c>
      <c r="F132" s="31" t="str">
        <f>IFERROR(+Matrizes!H133,"")</f>
        <v/>
      </c>
      <c r="G132" s="71"/>
      <c r="H132" s="132" t="str">
        <f t="shared" si="17"/>
        <v/>
      </c>
      <c r="I132" s="32" t="str">
        <f t="shared" si="18"/>
        <v/>
      </c>
      <c r="J132" s="53"/>
      <c r="K132" s="34"/>
      <c r="L132" s="53"/>
      <c r="M132" s="53"/>
      <c r="N132" s="201"/>
    </row>
    <row r="133" spans="1:14" hidden="1" x14ac:dyDescent="0.55000000000000004">
      <c r="A133" s="33" t="str">
        <f>IF(G133="VZ","",I133&amp;COUNTIF($I$4:I132,I133)+1)&amp;IF(K133&gt;0,"-N","")</f>
        <v>57</v>
      </c>
      <c r="B133" s="29" t="str">
        <f>+Matrizes!B134</f>
        <v/>
      </c>
      <c r="C133" s="29">
        <f>+Matrizes!C134</f>
        <v>0</v>
      </c>
      <c r="D133" s="30" t="str">
        <f>+Matrizes!E134</f>
        <v/>
      </c>
      <c r="E133" s="29" t="str">
        <f>+Matrizes!G134</f>
        <v/>
      </c>
      <c r="F133" s="31" t="str">
        <f>IFERROR(+Matrizes!H134,"")</f>
        <v/>
      </c>
      <c r="G133" s="70"/>
      <c r="H133" s="132" t="str">
        <f t="shared" si="17"/>
        <v/>
      </c>
      <c r="I133" s="32" t="str">
        <f t="shared" ref="I133:I150" si="19">IFERROR(IF(G133&gt;0,IF(DAY(+$D$2-G133+285)&lt;=15,TEXT(+$D$2-G133+285-20,"Mmm")&amp;"-"&amp;TEXT(+$D$2-G133+285,"mmm"),TEXT(+$D$2-G133+285,"Mmm")&amp;"-"&amp;TEXT(+$D$2-G133+285+20,"mmm")),""),"xxxxx")</f>
        <v/>
      </c>
      <c r="J133" s="53"/>
      <c r="K133" s="34"/>
      <c r="L133" s="53"/>
      <c r="M133" s="53"/>
      <c r="N133" s="201"/>
    </row>
    <row r="134" spans="1:14" hidden="1" x14ac:dyDescent="0.55000000000000004">
      <c r="A134" s="33" t="str">
        <f>IF(G134="VZ","",I134&amp;COUNTIF($I$4:I133,I134)+1)&amp;IF(K134&gt;0,"-N","")</f>
        <v>58</v>
      </c>
      <c r="B134" s="29" t="str">
        <f>+Matrizes!B135</f>
        <v/>
      </c>
      <c r="C134" s="29">
        <f>+Matrizes!C135</f>
        <v>0</v>
      </c>
      <c r="D134" s="30" t="str">
        <f>+Matrizes!E135</f>
        <v/>
      </c>
      <c r="E134" s="29" t="str">
        <f>+Matrizes!G135</f>
        <v/>
      </c>
      <c r="F134" s="31" t="str">
        <f>IFERROR(+Matrizes!H135,"")</f>
        <v/>
      </c>
      <c r="G134" s="70"/>
      <c r="H134" s="132" t="str">
        <f t="shared" si="17"/>
        <v/>
      </c>
      <c r="I134" s="32" t="str">
        <f t="shared" si="19"/>
        <v/>
      </c>
      <c r="J134" s="53"/>
      <c r="K134" s="34"/>
      <c r="L134" s="53"/>
      <c r="M134" s="53"/>
      <c r="N134" s="201"/>
    </row>
    <row r="135" spans="1:14" hidden="1" x14ac:dyDescent="0.55000000000000004">
      <c r="A135" s="33" t="str">
        <f>IF(G135="VZ","",I135&amp;COUNTIF($I$4:I134,I135)+1)&amp;IF(K135&gt;0,"-N","")</f>
        <v>59</v>
      </c>
      <c r="B135" s="29" t="str">
        <f>+Matrizes!B136</f>
        <v/>
      </c>
      <c r="C135" s="29">
        <f>+Matrizes!C136</f>
        <v>0</v>
      </c>
      <c r="D135" s="30" t="str">
        <f>+Matrizes!E136</f>
        <v/>
      </c>
      <c r="E135" s="29" t="str">
        <f>+Matrizes!G136</f>
        <v/>
      </c>
      <c r="F135" s="31" t="str">
        <f>IFERROR(+Matrizes!H136,"")</f>
        <v/>
      </c>
      <c r="G135" s="70"/>
      <c r="H135" s="132" t="str">
        <f t="shared" si="17"/>
        <v/>
      </c>
      <c r="I135" s="32" t="str">
        <f t="shared" si="19"/>
        <v/>
      </c>
      <c r="J135" s="53"/>
      <c r="K135" s="34"/>
      <c r="L135" s="53"/>
      <c r="M135" s="53"/>
      <c r="N135" s="201"/>
    </row>
    <row r="136" spans="1:14" hidden="1" x14ac:dyDescent="0.55000000000000004">
      <c r="A136" s="33" t="str">
        <f>IF(G136="VZ","",I136&amp;COUNTIF($I$4:I135,I136)+1)&amp;IF(K136&gt;0,"-N","")</f>
        <v>60</v>
      </c>
      <c r="B136" s="29" t="str">
        <f>+Matrizes!B137</f>
        <v/>
      </c>
      <c r="C136" s="29">
        <f>+Matrizes!C137</f>
        <v>0</v>
      </c>
      <c r="D136" s="30" t="str">
        <f>+Matrizes!E137</f>
        <v/>
      </c>
      <c r="E136" s="29">
        <f>+Matrizes!G150</f>
        <v>0</v>
      </c>
      <c r="F136" s="31">
        <f>IFERROR(+Matrizes!H150,"")</f>
        <v>0</v>
      </c>
      <c r="G136" s="70"/>
      <c r="H136" s="132" t="str">
        <f t="shared" si="17"/>
        <v/>
      </c>
      <c r="I136" s="32" t="str">
        <f t="shared" si="19"/>
        <v/>
      </c>
      <c r="J136" s="53"/>
      <c r="K136" s="34"/>
      <c r="L136" s="53"/>
      <c r="M136" s="53"/>
      <c r="N136" s="201"/>
    </row>
    <row r="137" spans="1:14" hidden="1" x14ac:dyDescent="0.55000000000000004">
      <c r="A137" s="33" t="str">
        <f>IF(G137="VZ","",I137&amp;COUNTIF($I$4:I136,I137)+1)&amp;IF(K137&gt;0,"-N","")</f>
        <v>61</v>
      </c>
      <c r="B137" s="29" t="str">
        <f>+Matrizes!B138</f>
        <v/>
      </c>
      <c r="C137" s="29">
        <f>+Matrizes!C138</f>
        <v>0</v>
      </c>
      <c r="D137" s="30" t="str">
        <f>+Matrizes!E138</f>
        <v/>
      </c>
      <c r="E137" s="29">
        <f>+Matrizes!G151</f>
        <v>0</v>
      </c>
      <c r="F137" s="31">
        <f>IFERROR(+Matrizes!H151,"")</f>
        <v>0</v>
      </c>
      <c r="G137" s="70"/>
      <c r="H137" s="132" t="str">
        <f t="shared" si="17"/>
        <v/>
      </c>
      <c r="I137" s="32" t="str">
        <f t="shared" si="19"/>
        <v/>
      </c>
      <c r="J137" s="53"/>
      <c r="K137" s="34"/>
      <c r="L137" s="53"/>
      <c r="M137" s="53"/>
      <c r="N137" s="201"/>
    </row>
    <row r="138" spans="1:14" hidden="1" x14ac:dyDescent="0.55000000000000004">
      <c r="A138" s="33" t="str">
        <f>IF(G138="VZ","",I138&amp;COUNTIF($I$4:I137,I138)+1)&amp;IF(K138&gt;0,"-N","")</f>
        <v>62</v>
      </c>
      <c r="B138" s="29" t="str">
        <f>+Matrizes!B139</f>
        <v/>
      </c>
      <c r="C138" s="29">
        <f>+Matrizes!C139</f>
        <v>0</v>
      </c>
      <c r="D138" s="30" t="str">
        <f>+Matrizes!E139</f>
        <v/>
      </c>
      <c r="E138" s="29">
        <f>+Matrizes!G152</f>
        <v>0</v>
      </c>
      <c r="F138" s="31">
        <f>IFERROR(+Matrizes!H152,"")</f>
        <v>0</v>
      </c>
      <c r="G138" s="70"/>
      <c r="H138" s="132" t="str">
        <f t="shared" si="17"/>
        <v/>
      </c>
      <c r="I138" s="32" t="str">
        <f t="shared" si="19"/>
        <v/>
      </c>
      <c r="J138" s="53"/>
      <c r="K138" s="34"/>
      <c r="L138" s="53"/>
      <c r="M138" s="53"/>
      <c r="N138" s="201"/>
    </row>
    <row r="139" spans="1:14" hidden="1" x14ac:dyDescent="0.55000000000000004">
      <c r="A139" s="33" t="str">
        <f>IF(G139="VZ","",I139&amp;COUNTIF($I$4:I138,I139)+1)&amp;IF(K139&gt;0,"-N","")</f>
        <v>63</v>
      </c>
      <c r="B139" s="29" t="str">
        <f>+Matrizes!B140</f>
        <v/>
      </c>
      <c r="C139" s="29">
        <f>+Matrizes!C140</f>
        <v>0</v>
      </c>
      <c r="D139" s="30" t="str">
        <f>+Matrizes!E140</f>
        <v/>
      </c>
      <c r="E139" s="29">
        <f>+Matrizes!G153</f>
        <v>0</v>
      </c>
      <c r="F139" s="31">
        <f>IFERROR(+Matrizes!H153,"")</f>
        <v>0</v>
      </c>
      <c r="G139" s="70"/>
      <c r="H139" s="132" t="str">
        <f t="shared" si="17"/>
        <v/>
      </c>
      <c r="I139" s="32" t="str">
        <f t="shared" si="19"/>
        <v/>
      </c>
      <c r="J139" s="53"/>
      <c r="K139" s="34"/>
      <c r="L139" s="53"/>
      <c r="M139" s="53"/>
      <c r="N139" s="201"/>
    </row>
    <row r="140" spans="1:14" hidden="1" x14ac:dyDescent="0.55000000000000004">
      <c r="A140" s="33" t="str">
        <f>IF(G140="VZ","",I140&amp;COUNTIF($I$4:I139,I140)+1)&amp;IF(K140&gt;0,"-N","")</f>
        <v>64</v>
      </c>
      <c r="B140" s="29" t="str">
        <f>+Matrizes!B141</f>
        <v/>
      </c>
      <c r="C140" s="29">
        <f>+Matrizes!C141</f>
        <v>0</v>
      </c>
      <c r="D140" s="30" t="str">
        <f>+Matrizes!E141</f>
        <v/>
      </c>
      <c r="E140" s="29">
        <f>+Matrizes!G154</f>
        <v>0</v>
      </c>
      <c r="F140" s="31">
        <f>IFERROR(+Matrizes!H154,"")</f>
        <v>0</v>
      </c>
      <c r="G140" s="70"/>
      <c r="H140" s="132" t="str">
        <f t="shared" si="17"/>
        <v/>
      </c>
      <c r="I140" s="32" t="str">
        <f t="shared" si="19"/>
        <v/>
      </c>
      <c r="J140" s="53"/>
      <c r="K140" s="34"/>
      <c r="L140" s="53"/>
      <c r="M140" s="53"/>
      <c r="N140" s="201"/>
    </row>
    <row r="141" spans="1:14" hidden="1" x14ac:dyDescent="0.55000000000000004">
      <c r="A141" s="33" t="str">
        <f>IF(G141="VZ","",I141&amp;COUNTIF($I$4:I140,I141)+1)&amp;IF(K141&gt;0,"-N","")</f>
        <v>65</v>
      </c>
      <c r="B141" s="29" t="str">
        <f>+Matrizes!B142</f>
        <v/>
      </c>
      <c r="C141" s="29">
        <f>+Matrizes!C142</f>
        <v>0</v>
      </c>
      <c r="D141" s="30" t="str">
        <f>+Matrizes!E142</f>
        <v/>
      </c>
      <c r="E141" s="29">
        <f>+Matrizes!G155</f>
        <v>0</v>
      </c>
      <c r="F141" s="31">
        <f>IFERROR(+Matrizes!H155,"")</f>
        <v>0</v>
      </c>
      <c r="G141" s="70"/>
      <c r="H141" s="132" t="str">
        <f t="shared" si="17"/>
        <v/>
      </c>
      <c r="I141" s="32" t="str">
        <f t="shared" si="19"/>
        <v/>
      </c>
      <c r="J141" s="53"/>
      <c r="K141" s="34"/>
      <c r="L141" s="53"/>
      <c r="M141" s="53"/>
      <c r="N141" s="201"/>
    </row>
    <row r="142" spans="1:14" hidden="1" x14ac:dyDescent="0.55000000000000004">
      <c r="A142" s="33" t="str">
        <f>IF(G142="VZ","",I142&amp;COUNTIF($I$4:I141,I142)+1)&amp;IF(K142&gt;0,"-N","")</f>
        <v>66</v>
      </c>
      <c r="B142" s="29" t="str">
        <f>+Matrizes!B143</f>
        <v/>
      </c>
      <c r="C142" s="29">
        <f>+Matrizes!C143</f>
        <v>0</v>
      </c>
      <c r="D142" s="30" t="str">
        <f>+Matrizes!E143</f>
        <v/>
      </c>
      <c r="E142" s="29">
        <f>+Matrizes!G156</f>
        <v>0</v>
      </c>
      <c r="F142" s="31">
        <f>IFERROR(+Matrizes!H156,"")</f>
        <v>0</v>
      </c>
      <c r="G142" s="70"/>
      <c r="H142" s="132" t="str">
        <f t="shared" si="17"/>
        <v/>
      </c>
      <c r="I142" s="32" t="str">
        <f t="shared" si="19"/>
        <v/>
      </c>
      <c r="J142" s="53"/>
      <c r="K142" s="34"/>
      <c r="L142" s="53"/>
      <c r="M142" s="53" t="s">
        <v>879</v>
      </c>
      <c r="N142" s="201"/>
    </row>
    <row r="143" spans="1:14" hidden="1" x14ac:dyDescent="0.55000000000000004">
      <c r="A143" s="33" t="str">
        <f>IF(G143="VZ","",I143&amp;COUNTIF($I$4:I142,I143)+1)&amp;IF(K143&gt;0,"-N","")</f>
        <v>67</v>
      </c>
      <c r="B143" s="29" t="str">
        <f>+Matrizes!B144</f>
        <v/>
      </c>
      <c r="C143" s="29">
        <f>+Matrizes!C144</f>
        <v>0</v>
      </c>
      <c r="D143" s="30" t="str">
        <f>+Matrizes!E144</f>
        <v/>
      </c>
      <c r="E143" s="29">
        <f>+Matrizes!G157</f>
        <v>0</v>
      </c>
      <c r="F143" s="31">
        <f>IFERROR(+Matrizes!H157,"")</f>
        <v>0</v>
      </c>
      <c r="G143" s="70"/>
      <c r="H143" s="132" t="str">
        <f t="shared" si="17"/>
        <v/>
      </c>
      <c r="I143" s="32" t="str">
        <f t="shared" si="19"/>
        <v/>
      </c>
      <c r="J143" s="53"/>
      <c r="K143" s="34"/>
      <c r="L143" s="53"/>
      <c r="M143" s="53"/>
      <c r="N143" s="201"/>
    </row>
    <row r="144" spans="1:14" hidden="1" x14ac:dyDescent="0.55000000000000004">
      <c r="A144" s="33" t="str">
        <f>IF(G144="VZ","",I144&amp;COUNTIF($I$4:I143,I144)+1)&amp;IF(K144&gt;0,"-N","")</f>
        <v>68</v>
      </c>
      <c r="B144" s="29" t="str">
        <f>+Matrizes!B145</f>
        <v/>
      </c>
      <c r="C144" s="29">
        <f>+Matrizes!C145</f>
        <v>0</v>
      </c>
      <c r="D144" s="30" t="str">
        <f>+Matrizes!E145</f>
        <v/>
      </c>
      <c r="E144" s="29">
        <f>+Matrizes!G158</f>
        <v>0</v>
      </c>
      <c r="F144" s="31">
        <f>IFERROR(+Matrizes!H158,"")</f>
        <v>0</v>
      </c>
      <c r="G144" s="70"/>
      <c r="H144" s="132" t="str">
        <f t="shared" si="17"/>
        <v/>
      </c>
      <c r="I144" s="32" t="str">
        <f t="shared" si="19"/>
        <v/>
      </c>
      <c r="J144" s="53"/>
      <c r="K144" s="34"/>
      <c r="L144" s="53"/>
      <c r="M144" s="53"/>
      <c r="N144" s="201"/>
    </row>
    <row r="145" spans="1:56" hidden="1" x14ac:dyDescent="0.55000000000000004">
      <c r="A145" s="33" t="str">
        <f>IF(G145="VZ","",I145&amp;COUNTIF($I$4:I144,I145)+1)&amp;IF(K145&gt;0,"-N","")</f>
        <v>69</v>
      </c>
      <c r="B145" s="29" t="str">
        <f>+Matrizes!B146</f>
        <v/>
      </c>
      <c r="C145" s="29">
        <f>+Matrizes!C146</f>
        <v>0</v>
      </c>
      <c r="D145" s="30" t="str">
        <f>+Matrizes!E146</f>
        <v/>
      </c>
      <c r="E145" s="29">
        <f>+Matrizes!G159</f>
        <v>0</v>
      </c>
      <c r="F145" s="31">
        <f>IFERROR(+Matrizes!H159,"")</f>
        <v>0</v>
      </c>
      <c r="G145" s="70"/>
      <c r="H145" s="132" t="str">
        <f t="shared" si="17"/>
        <v/>
      </c>
      <c r="I145" s="32" t="str">
        <f t="shared" si="19"/>
        <v/>
      </c>
      <c r="J145" s="53"/>
      <c r="K145" s="34"/>
      <c r="L145" s="53"/>
      <c r="M145" s="53"/>
      <c r="N145" s="201"/>
    </row>
    <row r="146" spans="1:56" hidden="1" x14ac:dyDescent="0.55000000000000004">
      <c r="A146" s="33" t="str">
        <f>IF(G146="VZ","",I146&amp;COUNTIF($I$4:I145,I146)+1)&amp;IF(K146&gt;0,"-N","")</f>
        <v>70</v>
      </c>
      <c r="B146" s="29" t="str">
        <f>+Matrizes!B147</f>
        <v/>
      </c>
      <c r="C146" s="29">
        <f>+Matrizes!C147</f>
        <v>0</v>
      </c>
      <c r="D146" s="30" t="str">
        <f>+Matrizes!E147</f>
        <v/>
      </c>
      <c r="E146" s="29">
        <f>+Matrizes!G160</f>
        <v>0</v>
      </c>
      <c r="F146" s="31">
        <f>IFERROR(+Matrizes!H160,"")</f>
        <v>0</v>
      </c>
      <c r="G146" s="70"/>
      <c r="H146" s="132" t="str">
        <f t="shared" si="17"/>
        <v/>
      </c>
      <c r="I146" s="32" t="str">
        <f t="shared" si="19"/>
        <v/>
      </c>
      <c r="J146" s="53"/>
      <c r="K146" s="34"/>
      <c r="L146" s="53"/>
      <c r="M146" s="53"/>
      <c r="N146" s="201"/>
    </row>
    <row r="147" spans="1:56" hidden="1" x14ac:dyDescent="0.55000000000000004">
      <c r="A147" s="33" t="str">
        <f>IF(G147="VZ","",I147&amp;COUNTIF($I$4:I146,I147)+1)&amp;IF(K147&gt;0,"-N","")</f>
        <v>71</v>
      </c>
      <c r="B147" s="29" t="str">
        <f>+Matrizes!B148</f>
        <v/>
      </c>
      <c r="C147" s="29">
        <f>+Matrizes!C148</f>
        <v>0</v>
      </c>
      <c r="D147" s="30" t="str">
        <f>+Matrizes!E148</f>
        <v/>
      </c>
      <c r="E147" s="29">
        <f>+Matrizes!G161</f>
        <v>0</v>
      </c>
      <c r="F147" s="31">
        <f>IFERROR(+Matrizes!H161,"")</f>
        <v>0</v>
      </c>
      <c r="G147" s="70"/>
      <c r="H147" s="132" t="str">
        <f t="shared" si="17"/>
        <v/>
      </c>
      <c r="I147" s="32" t="str">
        <f t="shared" si="19"/>
        <v/>
      </c>
      <c r="J147" s="53"/>
      <c r="K147" s="34"/>
      <c r="L147" s="53"/>
      <c r="M147" s="53"/>
      <c r="N147" s="201"/>
    </row>
    <row r="148" spans="1:56" hidden="1" x14ac:dyDescent="0.55000000000000004">
      <c r="A148" s="33" t="str">
        <f>IF(G148="VZ","",I148&amp;COUNTIF($I$4:I147,I148)+1)&amp;IF(K148&gt;0,"-N","")</f>
        <v>72</v>
      </c>
      <c r="B148" s="29" t="str">
        <f>+Matrizes!B149</f>
        <v/>
      </c>
      <c r="C148" s="29">
        <f>+Matrizes!C149</f>
        <v>0</v>
      </c>
      <c r="D148" s="30" t="str">
        <f>+Matrizes!E149</f>
        <v/>
      </c>
      <c r="E148" s="29">
        <f>+Matrizes!G162</f>
        <v>0</v>
      </c>
      <c r="F148" s="31">
        <f>IFERROR(+Matrizes!H162,"")</f>
        <v>0</v>
      </c>
      <c r="G148" s="70"/>
      <c r="H148" s="132" t="str">
        <f t="shared" si="17"/>
        <v/>
      </c>
      <c r="I148" s="32" t="str">
        <f t="shared" si="19"/>
        <v/>
      </c>
      <c r="J148" s="53"/>
      <c r="K148" s="34"/>
      <c r="L148" s="53"/>
      <c r="M148" s="53"/>
      <c r="N148" s="201"/>
    </row>
    <row r="149" spans="1:56" hidden="1" x14ac:dyDescent="0.55000000000000004">
      <c r="A149" s="33" t="str">
        <f>IF(G149="VZ","",I149&amp;COUNTIF($I$4:I148,I149)+1)&amp;IF(K149&gt;0,"-N","")</f>
        <v>73</v>
      </c>
      <c r="B149" s="29">
        <f>+Matrizes!B150</f>
        <v>0</v>
      </c>
      <c r="C149" s="29">
        <f>+Matrizes!C150</f>
        <v>0</v>
      </c>
      <c r="D149" s="30">
        <f>+Matrizes!E150</f>
        <v>0</v>
      </c>
      <c r="E149" s="29">
        <f>+Matrizes!G163</f>
        <v>0</v>
      </c>
      <c r="F149" s="31">
        <f>IFERROR(+Matrizes!H163,"")</f>
        <v>0</v>
      </c>
      <c r="G149" s="70"/>
      <c r="H149" s="30" t="str">
        <f t="shared" ref="H133:H150" si="20">IFERROR(IF(G149&gt;0,+$D$2-G149+285,""),"xxxxx")</f>
        <v/>
      </c>
      <c r="I149" s="32" t="str">
        <f t="shared" si="19"/>
        <v/>
      </c>
      <c r="J149" s="53"/>
      <c r="K149" s="34"/>
      <c r="L149" s="53"/>
      <c r="M149" s="53"/>
      <c r="N149" s="201"/>
    </row>
    <row r="150" spans="1:56" hidden="1" x14ac:dyDescent="0.55000000000000004">
      <c r="A150" s="33" t="str">
        <f>IF(G150="VZ","",I150&amp;COUNTIF($I$4:I149,I150)+1)&amp;IF(K150&gt;0,"-N","")</f>
        <v>74</v>
      </c>
      <c r="B150" s="29">
        <f>+Matrizes!B151</f>
        <v>0</v>
      </c>
      <c r="C150" s="29">
        <f>+Matrizes!C151</f>
        <v>0</v>
      </c>
      <c r="D150" s="30">
        <f>+Matrizes!E151</f>
        <v>0</v>
      </c>
      <c r="E150" s="29">
        <f>+Matrizes!G164</f>
        <v>0</v>
      </c>
      <c r="F150" s="31">
        <f>IFERROR(+Matrizes!H164,"")</f>
        <v>0</v>
      </c>
      <c r="G150" s="70"/>
      <c r="H150" s="30" t="str">
        <f t="shared" si="20"/>
        <v/>
      </c>
      <c r="I150" s="32" t="str">
        <f t="shared" si="19"/>
        <v/>
      </c>
      <c r="J150" s="53"/>
      <c r="K150" s="34"/>
      <c r="L150" s="53"/>
      <c r="M150" s="53"/>
      <c r="N150" s="202"/>
    </row>
    <row r="151" spans="1:56" x14ac:dyDescent="0.55000000000000004">
      <c r="A151" s="33"/>
      <c r="B151" s="150"/>
      <c r="C151" s="150"/>
      <c r="D151" s="151"/>
      <c r="E151" s="150"/>
      <c r="F151" s="152"/>
      <c r="G151" s="110"/>
      <c r="H151" s="104"/>
      <c r="I151" s="59"/>
      <c r="J151" s="57"/>
      <c r="K151" s="111"/>
      <c r="L151" s="57"/>
      <c r="M151" s="57"/>
      <c r="N151" s="166"/>
    </row>
    <row r="152" spans="1:56" ht="14.7" thickBot="1" x14ac:dyDescent="0.6">
      <c r="B152" s="150"/>
      <c r="C152" s="150"/>
      <c r="D152" s="151"/>
      <c r="E152" s="150"/>
      <c r="F152" s="152"/>
      <c r="G152" s="110"/>
      <c r="H152" s="104"/>
      <c r="I152" s="59"/>
      <c r="J152" s="57"/>
      <c r="K152" s="111"/>
      <c r="L152" s="57"/>
      <c r="M152" s="57"/>
      <c r="N152" s="112"/>
    </row>
    <row r="153" spans="1:56" ht="14.7" thickBot="1" x14ac:dyDescent="0.6">
      <c r="B153" s="33"/>
      <c r="C153" s="119" t="s">
        <v>946</v>
      </c>
      <c r="D153" s="120" t="s">
        <v>947</v>
      </c>
      <c r="F153" s="153"/>
      <c r="G153" s="106" t="s">
        <v>881</v>
      </c>
      <c r="H153" s="107"/>
      <c r="I153" s="108"/>
      <c r="J153" s="109"/>
      <c r="K153" s="114" t="s">
        <v>938</v>
      </c>
      <c r="L153" s="109"/>
      <c r="M153" s="109"/>
      <c r="N153" s="172"/>
    </row>
    <row r="154" spans="1:56" ht="27" customHeight="1" x14ac:dyDescent="0.55000000000000004">
      <c r="B154" s="33"/>
      <c r="C154" s="49" t="s">
        <v>948</v>
      </c>
      <c r="D154" s="136">
        <f>COUNT(G5:G150)</f>
        <v>33</v>
      </c>
      <c r="F154" s="154"/>
      <c r="G154" s="69" t="s">
        <v>870</v>
      </c>
      <c r="H154" s="139" t="s">
        <v>871</v>
      </c>
      <c r="I154" s="140" t="s">
        <v>944</v>
      </c>
      <c r="J154" s="141"/>
      <c r="K154" s="141"/>
      <c r="L154" s="142"/>
      <c r="M154" s="140" t="s">
        <v>945</v>
      </c>
      <c r="N154" s="143"/>
      <c r="P154" s="24">
        <v>1</v>
      </c>
      <c r="Q154" s="24">
        <v>2</v>
      </c>
      <c r="R154" s="24">
        <v>3</v>
      </c>
      <c r="S154" s="24">
        <v>4</v>
      </c>
      <c r="T154" s="24">
        <v>5</v>
      </c>
      <c r="U154" s="24">
        <v>6</v>
      </c>
      <c r="V154" s="24">
        <v>7</v>
      </c>
      <c r="W154" s="24">
        <v>8</v>
      </c>
      <c r="X154" s="24">
        <v>9</v>
      </c>
      <c r="Y154" s="24">
        <v>10</v>
      </c>
      <c r="Z154" s="24">
        <v>11</v>
      </c>
      <c r="AA154" s="24">
        <v>12</v>
      </c>
      <c r="AB154" s="24">
        <v>13</v>
      </c>
      <c r="AC154" s="24">
        <v>14</v>
      </c>
      <c r="AD154" s="24">
        <v>15</v>
      </c>
      <c r="AE154" s="24">
        <v>16</v>
      </c>
      <c r="AF154" s="24">
        <v>17</v>
      </c>
      <c r="AG154" s="24">
        <v>18</v>
      </c>
      <c r="AH154" s="24">
        <v>19</v>
      </c>
      <c r="AI154" s="24">
        <v>20</v>
      </c>
      <c r="AK154" s="24">
        <v>1</v>
      </c>
      <c r="AL154" s="24">
        <v>2</v>
      </c>
      <c r="AM154" s="24">
        <v>3</v>
      </c>
      <c r="AN154" s="24">
        <v>4</v>
      </c>
      <c r="AO154" s="24">
        <v>5</v>
      </c>
      <c r="AP154" s="24">
        <v>6</v>
      </c>
      <c r="AQ154" s="24">
        <v>7</v>
      </c>
      <c r="AR154" s="24">
        <v>8</v>
      </c>
      <c r="AS154" s="24">
        <v>9</v>
      </c>
      <c r="AT154" s="24">
        <v>10</v>
      </c>
      <c r="AU154" s="24">
        <v>11</v>
      </c>
      <c r="AV154" s="24">
        <v>12</v>
      </c>
      <c r="AW154" s="24">
        <v>13</v>
      </c>
      <c r="AX154" s="24">
        <v>14</v>
      </c>
      <c r="AY154" s="24">
        <v>15</v>
      </c>
      <c r="AZ154" s="24">
        <v>16</v>
      </c>
      <c r="BA154" s="24">
        <v>17</v>
      </c>
      <c r="BB154" s="24">
        <v>18</v>
      </c>
      <c r="BC154" s="24">
        <v>19</v>
      </c>
      <c r="BD154" s="24">
        <v>20</v>
      </c>
    </row>
    <row r="155" spans="1:56" ht="27" customHeight="1" x14ac:dyDescent="0.55000000000000004">
      <c r="B155" s="33"/>
      <c r="C155" s="121" t="s">
        <v>945</v>
      </c>
      <c r="D155" s="137">
        <f>COUNTA(K5:K149)</f>
        <v>33</v>
      </c>
      <c r="F155" s="154"/>
      <c r="G155" s="101" t="s">
        <v>904</v>
      </c>
      <c r="H155" s="115">
        <f t="shared" ref="H155:H166" si="21">COUNTIF($I$4:$I$149,G155)</f>
        <v>4</v>
      </c>
      <c r="I155" s="180" t="str">
        <f>CONCATENATE(P155,Q155,R155,S155,T155,U155,V155,W155,X155,Y155,Z155,AA155,AB155,AC155,AD155,AE155,AF155,AG155,AH155,AI155)</f>
        <v xml:space="preserve">                    </v>
      </c>
      <c r="J155" s="181"/>
      <c r="K155" s="181"/>
      <c r="L155" s="182"/>
      <c r="M155" s="183" t="str">
        <f>CONCATENATE(AK155,AL155,AM155,AN155,AO155,AP155,AQ155,AR155,AS155,AT155,AU155,AV155,AW155,AX155,AY155,AZ155,BA155,BB155,BC155,BD155)</f>
        <v xml:space="preserve">987 1026 1036 1057                 </v>
      </c>
      <c r="N155" s="184"/>
      <c r="O155" s="116"/>
      <c r="P155" s="116" t="str">
        <f t="shared" ref="P155:Y167" si="22">IFERROR(VLOOKUP($G155&amp;P$154,$A$4:$C$167,3,FALSE),"")&amp;" "</f>
        <v xml:space="preserve"> </v>
      </c>
      <c r="Q155" s="116" t="str">
        <f t="shared" si="22"/>
        <v xml:space="preserve"> </v>
      </c>
      <c r="R155" s="116" t="str">
        <f t="shared" si="22"/>
        <v xml:space="preserve"> </v>
      </c>
      <c r="S155" s="116" t="str">
        <f t="shared" si="22"/>
        <v xml:space="preserve"> </v>
      </c>
      <c r="T155" s="116" t="str">
        <f t="shared" si="22"/>
        <v xml:space="preserve"> </v>
      </c>
      <c r="U155" s="116" t="str">
        <f t="shared" si="22"/>
        <v xml:space="preserve"> </v>
      </c>
      <c r="V155" s="116" t="str">
        <f t="shared" si="22"/>
        <v xml:space="preserve"> </v>
      </c>
      <c r="W155" s="116" t="str">
        <f t="shared" si="22"/>
        <v xml:space="preserve"> </v>
      </c>
      <c r="X155" s="116" t="str">
        <f t="shared" si="22"/>
        <v xml:space="preserve"> </v>
      </c>
      <c r="Y155" s="116" t="str">
        <f t="shared" si="22"/>
        <v xml:space="preserve"> </v>
      </c>
      <c r="Z155" s="116" t="str">
        <f t="shared" ref="Z155:AI167" si="23">IFERROR(VLOOKUP($G155&amp;Z$154,$A$4:$C$167,3,FALSE),"")&amp;" "</f>
        <v xml:space="preserve"> </v>
      </c>
      <c r="AA155" s="116" t="str">
        <f t="shared" si="23"/>
        <v xml:space="preserve"> </v>
      </c>
      <c r="AB155" s="116" t="str">
        <f t="shared" si="23"/>
        <v xml:space="preserve"> </v>
      </c>
      <c r="AC155" s="116" t="str">
        <f t="shared" si="23"/>
        <v xml:space="preserve"> </v>
      </c>
      <c r="AD155" s="116" t="str">
        <f t="shared" si="23"/>
        <v xml:space="preserve"> </v>
      </c>
      <c r="AE155" s="116" t="str">
        <f t="shared" si="23"/>
        <v xml:space="preserve"> </v>
      </c>
      <c r="AF155" s="116" t="str">
        <f t="shared" si="23"/>
        <v xml:space="preserve"> </v>
      </c>
      <c r="AG155" s="116" t="str">
        <f t="shared" si="23"/>
        <v xml:space="preserve"> </v>
      </c>
      <c r="AH155" s="116" t="str">
        <f t="shared" si="23"/>
        <v xml:space="preserve"> </v>
      </c>
      <c r="AI155" s="116" t="str">
        <f t="shared" si="23"/>
        <v xml:space="preserve"> </v>
      </c>
      <c r="AJ155" s="116"/>
      <c r="AK155" s="116" t="str">
        <f t="shared" ref="AK155:AT166" si="24">IFERROR(VLOOKUP($G155&amp;AK$154&amp;"-N",$A$4:$C$167,3,FALSE),"")&amp;" "</f>
        <v xml:space="preserve">987 </v>
      </c>
      <c r="AL155" s="116" t="str">
        <f t="shared" si="24"/>
        <v xml:space="preserve">1026 </v>
      </c>
      <c r="AM155" s="116" t="str">
        <f t="shared" si="24"/>
        <v xml:space="preserve">1036 </v>
      </c>
      <c r="AN155" s="116" t="str">
        <f t="shared" si="24"/>
        <v xml:space="preserve">1057 </v>
      </c>
      <c r="AO155" s="116" t="str">
        <f t="shared" si="24"/>
        <v xml:space="preserve"> </v>
      </c>
      <c r="AP155" s="116" t="str">
        <f t="shared" si="24"/>
        <v xml:space="preserve"> </v>
      </c>
      <c r="AQ155" s="116" t="str">
        <f t="shared" si="24"/>
        <v xml:space="preserve"> </v>
      </c>
      <c r="AR155" s="116" t="str">
        <f t="shared" si="24"/>
        <v xml:space="preserve"> </v>
      </c>
      <c r="AS155" s="116" t="str">
        <f t="shared" si="24"/>
        <v xml:space="preserve"> </v>
      </c>
      <c r="AT155" s="116" t="str">
        <f t="shared" si="24"/>
        <v xml:space="preserve"> </v>
      </c>
      <c r="AU155" s="116" t="str">
        <f t="shared" ref="AU155:BD166" si="25">IFERROR(VLOOKUP($G155&amp;AU$154&amp;"-N",$A$4:$C$167,3,FALSE),"")&amp;" "</f>
        <v xml:space="preserve"> </v>
      </c>
      <c r="AV155" s="116" t="str">
        <f t="shared" si="25"/>
        <v xml:space="preserve"> </v>
      </c>
      <c r="AW155" s="116" t="str">
        <f t="shared" si="25"/>
        <v xml:space="preserve"> </v>
      </c>
      <c r="AX155" s="116" t="str">
        <f t="shared" si="25"/>
        <v xml:space="preserve"> </v>
      </c>
      <c r="AY155" s="116" t="str">
        <f t="shared" si="25"/>
        <v xml:space="preserve"> </v>
      </c>
      <c r="AZ155" s="116" t="str">
        <f t="shared" si="25"/>
        <v xml:space="preserve"> </v>
      </c>
      <c r="BA155" s="116" t="str">
        <f t="shared" si="25"/>
        <v xml:space="preserve"> </v>
      </c>
      <c r="BB155" s="116" t="str">
        <f t="shared" si="25"/>
        <v xml:space="preserve"> </v>
      </c>
      <c r="BC155" s="116" t="str">
        <f t="shared" si="25"/>
        <v xml:space="preserve"> </v>
      </c>
      <c r="BD155" s="116" t="str">
        <f t="shared" si="25"/>
        <v xml:space="preserve"> </v>
      </c>
    </row>
    <row r="156" spans="1:56" ht="27" customHeight="1" x14ac:dyDescent="0.55000000000000004">
      <c r="B156" s="33"/>
      <c r="C156" s="49" t="s">
        <v>949</v>
      </c>
      <c r="D156" s="136">
        <f>+D157-D154-D155</f>
        <v>6</v>
      </c>
      <c r="F156" s="154"/>
      <c r="G156" s="101" t="s">
        <v>905</v>
      </c>
      <c r="H156" s="115">
        <f t="shared" si="21"/>
        <v>4</v>
      </c>
      <c r="I156" s="180" t="str">
        <f t="shared" ref="I156:I166" si="26">CONCATENATE(P156,Q156,R156,S156,T156,U156,V156,W156,X156,Y156,Z156,AA156,AB156,AC156,AD156,AE156,AF156,AG156,AH156,AI156)</f>
        <v xml:space="preserve">1047 1058  1061                 </v>
      </c>
      <c r="J156" s="181"/>
      <c r="K156" s="181"/>
      <c r="L156" s="182"/>
      <c r="M156" s="183" t="str">
        <f t="shared" ref="M156:M166" si="27">CONCATENATE(AK156,AL156,AM156,AN156,AO156,AP156,AQ156,AR156,AS156,AT156,AU156,AV156,AW156,AX156,AY156,AZ156,BA156,BB156,BC156,BD156)</f>
        <v xml:space="preserve">  1059                  </v>
      </c>
      <c r="N156" s="184"/>
      <c r="O156" s="116"/>
      <c r="P156" s="116" t="str">
        <f t="shared" si="22"/>
        <v xml:space="preserve">1047 </v>
      </c>
      <c r="Q156" s="116" t="str">
        <f t="shared" si="22"/>
        <v xml:space="preserve">1058 </v>
      </c>
      <c r="R156" s="116" t="str">
        <f t="shared" si="22"/>
        <v xml:space="preserve"> </v>
      </c>
      <c r="S156" s="116" t="str">
        <f t="shared" si="22"/>
        <v xml:space="preserve">1061 </v>
      </c>
      <c r="T156" s="116" t="str">
        <f t="shared" si="22"/>
        <v xml:space="preserve"> </v>
      </c>
      <c r="U156" s="116" t="str">
        <f t="shared" si="22"/>
        <v xml:space="preserve"> </v>
      </c>
      <c r="V156" s="116" t="str">
        <f t="shared" si="22"/>
        <v xml:space="preserve"> </v>
      </c>
      <c r="W156" s="116" t="str">
        <f t="shared" si="22"/>
        <v xml:space="preserve"> </v>
      </c>
      <c r="X156" s="116" t="str">
        <f t="shared" si="22"/>
        <v xml:space="preserve"> </v>
      </c>
      <c r="Y156" s="116" t="str">
        <f t="shared" si="22"/>
        <v xml:space="preserve"> </v>
      </c>
      <c r="Z156" s="116" t="str">
        <f t="shared" si="23"/>
        <v xml:space="preserve"> </v>
      </c>
      <c r="AA156" s="116" t="str">
        <f t="shared" si="23"/>
        <v xml:space="preserve"> </v>
      </c>
      <c r="AB156" s="116" t="str">
        <f t="shared" si="23"/>
        <v xml:space="preserve"> </v>
      </c>
      <c r="AC156" s="116" t="str">
        <f t="shared" si="23"/>
        <v xml:space="preserve"> </v>
      </c>
      <c r="AD156" s="116" t="str">
        <f t="shared" si="23"/>
        <v xml:space="preserve"> </v>
      </c>
      <c r="AE156" s="116" t="str">
        <f t="shared" si="23"/>
        <v xml:space="preserve"> </v>
      </c>
      <c r="AF156" s="116" t="str">
        <f t="shared" si="23"/>
        <v xml:space="preserve"> </v>
      </c>
      <c r="AG156" s="116" t="str">
        <f t="shared" si="23"/>
        <v xml:space="preserve"> </v>
      </c>
      <c r="AH156" s="116" t="str">
        <f t="shared" si="23"/>
        <v xml:space="preserve"> </v>
      </c>
      <c r="AI156" s="116" t="str">
        <f t="shared" si="23"/>
        <v xml:space="preserve"> </v>
      </c>
      <c r="AJ156" s="116"/>
      <c r="AK156" s="116" t="str">
        <f t="shared" si="24"/>
        <v xml:space="preserve"> </v>
      </c>
      <c r="AL156" s="116" t="str">
        <f t="shared" si="24"/>
        <v xml:space="preserve"> </v>
      </c>
      <c r="AM156" s="116" t="str">
        <f t="shared" si="24"/>
        <v xml:space="preserve">1059 </v>
      </c>
      <c r="AN156" s="116" t="str">
        <f t="shared" si="24"/>
        <v xml:space="preserve"> </v>
      </c>
      <c r="AO156" s="116" t="str">
        <f t="shared" si="24"/>
        <v xml:space="preserve"> </v>
      </c>
      <c r="AP156" s="116" t="str">
        <f t="shared" si="24"/>
        <v xml:space="preserve"> </v>
      </c>
      <c r="AQ156" s="116" t="str">
        <f t="shared" si="24"/>
        <v xml:space="preserve"> </v>
      </c>
      <c r="AR156" s="116" t="str">
        <f t="shared" si="24"/>
        <v xml:space="preserve"> </v>
      </c>
      <c r="AS156" s="116" t="str">
        <f t="shared" si="24"/>
        <v xml:space="preserve"> </v>
      </c>
      <c r="AT156" s="116" t="str">
        <f t="shared" si="24"/>
        <v xml:space="preserve"> </v>
      </c>
      <c r="AU156" s="116" t="str">
        <f t="shared" si="25"/>
        <v xml:space="preserve"> </v>
      </c>
      <c r="AV156" s="116" t="str">
        <f t="shared" si="25"/>
        <v xml:space="preserve"> </v>
      </c>
      <c r="AW156" s="116" t="str">
        <f t="shared" si="25"/>
        <v xml:space="preserve"> </v>
      </c>
      <c r="AX156" s="116" t="str">
        <f t="shared" si="25"/>
        <v xml:space="preserve"> </v>
      </c>
      <c r="AY156" s="116" t="str">
        <f t="shared" si="25"/>
        <v xml:space="preserve"> </v>
      </c>
      <c r="AZ156" s="116" t="str">
        <f t="shared" si="25"/>
        <v xml:space="preserve"> </v>
      </c>
      <c r="BA156" s="116" t="str">
        <f t="shared" si="25"/>
        <v xml:space="preserve"> </v>
      </c>
      <c r="BB156" s="116" t="str">
        <f t="shared" si="25"/>
        <v xml:space="preserve"> </v>
      </c>
      <c r="BC156" s="116" t="str">
        <f t="shared" si="25"/>
        <v xml:space="preserve"> </v>
      </c>
      <c r="BD156" s="116" t="str">
        <f t="shared" si="25"/>
        <v xml:space="preserve"> </v>
      </c>
    </row>
    <row r="157" spans="1:56" ht="27" customHeight="1" thickBot="1" x14ac:dyDescent="0.6">
      <c r="B157" s="33"/>
      <c r="C157" s="48" t="s">
        <v>874</v>
      </c>
      <c r="D157" s="138">
        <f>+LARGE($B$4:$B$150,1)</f>
        <v>72</v>
      </c>
      <c r="F157" s="154"/>
      <c r="G157" s="101" t="s">
        <v>906</v>
      </c>
      <c r="H157" s="115">
        <f t="shared" si="21"/>
        <v>7</v>
      </c>
      <c r="I157" s="180" t="str">
        <f t="shared" si="26"/>
        <v xml:space="preserve"> 931 961                  </v>
      </c>
      <c r="J157" s="181"/>
      <c r="K157" s="181"/>
      <c r="L157" s="182"/>
      <c r="M157" s="183" t="str">
        <f t="shared" si="27"/>
        <v xml:space="preserve">874   976 980 981 1046              </v>
      </c>
      <c r="N157" s="184"/>
      <c r="O157" s="116"/>
      <c r="P157" s="116" t="str">
        <f t="shared" si="22"/>
        <v xml:space="preserve"> </v>
      </c>
      <c r="Q157" s="116" t="str">
        <f t="shared" si="22"/>
        <v xml:space="preserve">931 </v>
      </c>
      <c r="R157" s="116" t="str">
        <f t="shared" si="22"/>
        <v xml:space="preserve">961 </v>
      </c>
      <c r="S157" s="116" t="str">
        <f t="shared" si="22"/>
        <v xml:space="preserve"> </v>
      </c>
      <c r="T157" s="116" t="str">
        <f t="shared" si="22"/>
        <v xml:space="preserve"> </v>
      </c>
      <c r="U157" s="116" t="str">
        <f t="shared" si="22"/>
        <v xml:space="preserve"> </v>
      </c>
      <c r="V157" s="116" t="str">
        <f t="shared" si="22"/>
        <v xml:space="preserve"> </v>
      </c>
      <c r="W157" s="116" t="str">
        <f t="shared" si="22"/>
        <v xml:space="preserve"> </v>
      </c>
      <c r="X157" s="116" t="str">
        <f t="shared" si="22"/>
        <v xml:space="preserve"> </v>
      </c>
      <c r="Y157" s="116" t="str">
        <f t="shared" si="22"/>
        <v xml:space="preserve"> </v>
      </c>
      <c r="Z157" s="116" t="str">
        <f t="shared" si="23"/>
        <v xml:space="preserve"> </v>
      </c>
      <c r="AA157" s="116" t="str">
        <f t="shared" si="23"/>
        <v xml:space="preserve"> </v>
      </c>
      <c r="AB157" s="116" t="str">
        <f t="shared" si="23"/>
        <v xml:space="preserve"> </v>
      </c>
      <c r="AC157" s="116" t="str">
        <f t="shared" si="23"/>
        <v xml:space="preserve"> </v>
      </c>
      <c r="AD157" s="116" t="str">
        <f t="shared" si="23"/>
        <v xml:space="preserve"> </v>
      </c>
      <c r="AE157" s="116" t="str">
        <f t="shared" si="23"/>
        <v xml:space="preserve"> </v>
      </c>
      <c r="AF157" s="116" t="str">
        <f t="shared" si="23"/>
        <v xml:space="preserve"> </v>
      </c>
      <c r="AG157" s="116" t="str">
        <f t="shared" si="23"/>
        <v xml:space="preserve"> </v>
      </c>
      <c r="AH157" s="116" t="str">
        <f t="shared" si="23"/>
        <v xml:space="preserve"> </v>
      </c>
      <c r="AI157" s="116" t="str">
        <f t="shared" si="23"/>
        <v xml:space="preserve"> </v>
      </c>
      <c r="AJ157" s="116"/>
      <c r="AK157" s="116" t="str">
        <f t="shared" si="24"/>
        <v xml:space="preserve">874 </v>
      </c>
      <c r="AL157" s="116" t="str">
        <f t="shared" si="24"/>
        <v xml:space="preserve"> </v>
      </c>
      <c r="AM157" s="116" t="str">
        <f t="shared" si="24"/>
        <v xml:space="preserve"> </v>
      </c>
      <c r="AN157" s="116" t="str">
        <f t="shared" si="24"/>
        <v xml:space="preserve">976 </v>
      </c>
      <c r="AO157" s="116" t="str">
        <f t="shared" si="24"/>
        <v xml:space="preserve">980 </v>
      </c>
      <c r="AP157" s="116" t="str">
        <f t="shared" si="24"/>
        <v xml:space="preserve">981 </v>
      </c>
      <c r="AQ157" s="116" t="str">
        <f t="shared" si="24"/>
        <v xml:space="preserve">1046 </v>
      </c>
      <c r="AR157" s="116" t="str">
        <f t="shared" si="24"/>
        <v xml:space="preserve"> </v>
      </c>
      <c r="AS157" s="116" t="str">
        <f t="shared" si="24"/>
        <v xml:space="preserve"> </v>
      </c>
      <c r="AT157" s="116" t="str">
        <f t="shared" si="24"/>
        <v xml:space="preserve"> </v>
      </c>
      <c r="AU157" s="116" t="str">
        <f t="shared" si="25"/>
        <v xml:space="preserve"> </v>
      </c>
      <c r="AV157" s="116" t="str">
        <f t="shared" si="25"/>
        <v xml:space="preserve"> </v>
      </c>
      <c r="AW157" s="116" t="str">
        <f t="shared" si="25"/>
        <v xml:space="preserve"> </v>
      </c>
      <c r="AX157" s="116" t="str">
        <f t="shared" si="25"/>
        <v xml:space="preserve"> </v>
      </c>
      <c r="AY157" s="116" t="str">
        <f t="shared" si="25"/>
        <v xml:space="preserve"> </v>
      </c>
      <c r="AZ157" s="116" t="str">
        <f t="shared" si="25"/>
        <v xml:space="preserve"> </v>
      </c>
      <c r="BA157" s="116" t="str">
        <f t="shared" si="25"/>
        <v xml:space="preserve"> </v>
      </c>
      <c r="BB157" s="116" t="str">
        <f t="shared" si="25"/>
        <v xml:space="preserve"> </v>
      </c>
      <c r="BC157" s="116" t="str">
        <f t="shared" si="25"/>
        <v xml:space="preserve"> </v>
      </c>
      <c r="BD157" s="116" t="str">
        <f t="shared" si="25"/>
        <v xml:space="preserve"> </v>
      </c>
    </row>
    <row r="158" spans="1:56" ht="27" customHeight="1" x14ac:dyDescent="0.55000000000000004">
      <c r="B158" s="33"/>
      <c r="C158" s="33"/>
      <c r="D158" s="104"/>
      <c r="E158" s="33"/>
      <c r="F158" s="105"/>
      <c r="G158" s="101" t="s">
        <v>907</v>
      </c>
      <c r="H158" s="115">
        <f t="shared" si="21"/>
        <v>2</v>
      </c>
      <c r="I158" s="180" t="str">
        <f t="shared" si="26"/>
        <v xml:space="preserve">967 973                   </v>
      </c>
      <c r="J158" s="181"/>
      <c r="K158" s="181"/>
      <c r="L158" s="182"/>
      <c r="M158" s="183" t="str">
        <f t="shared" si="27"/>
        <v xml:space="preserve">                    </v>
      </c>
      <c r="N158" s="184"/>
      <c r="O158" s="116"/>
      <c r="P158" s="116" t="str">
        <f t="shared" si="22"/>
        <v xml:space="preserve">967 </v>
      </c>
      <c r="Q158" s="116" t="str">
        <f t="shared" si="22"/>
        <v xml:space="preserve">973 </v>
      </c>
      <c r="R158" s="116" t="str">
        <f t="shared" si="22"/>
        <v xml:space="preserve"> </v>
      </c>
      <c r="S158" s="116" t="str">
        <f t="shared" si="22"/>
        <v xml:space="preserve"> </v>
      </c>
      <c r="T158" s="116" t="str">
        <f t="shared" si="22"/>
        <v xml:space="preserve"> </v>
      </c>
      <c r="U158" s="116" t="str">
        <f t="shared" si="22"/>
        <v xml:space="preserve"> </v>
      </c>
      <c r="V158" s="116" t="str">
        <f t="shared" si="22"/>
        <v xml:space="preserve"> </v>
      </c>
      <c r="W158" s="116" t="str">
        <f t="shared" si="22"/>
        <v xml:space="preserve"> </v>
      </c>
      <c r="X158" s="116" t="str">
        <f t="shared" si="22"/>
        <v xml:space="preserve"> </v>
      </c>
      <c r="Y158" s="116" t="str">
        <f t="shared" si="22"/>
        <v xml:space="preserve"> </v>
      </c>
      <c r="Z158" s="116" t="str">
        <f t="shared" si="23"/>
        <v xml:space="preserve"> </v>
      </c>
      <c r="AA158" s="116" t="str">
        <f t="shared" si="23"/>
        <v xml:space="preserve"> </v>
      </c>
      <c r="AB158" s="116" t="str">
        <f t="shared" si="23"/>
        <v xml:space="preserve"> </v>
      </c>
      <c r="AC158" s="116" t="str">
        <f t="shared" si="23"/>
        <v xml:space="preserve"> </v>
      </c>
      <c r="AD158" s="116" t="str">
        <f t="shared" si="23"/>
        <v xml:space="preserve"> </v>
      </c>
      <c r="AE158" s="116" t="str">
        <f t="shared" si="23"/>
        <v xml:space="preserve"> </v>
      </c>
      <c r="AF158" s="116" t="str">
        <f t="shared" si="23"/>
        <v xml:space="preserve"> </v>
      </c>
      <c r="AG158" s="116" t="str">
        <f t="shared" si="23"/>
        <v xml:space="preserve"> </v>
      </c>
      <c r="AH158" s="116" t="str">
        <f t="shared" si="23"/>
        <v xml:space="preserve"> </v>
      </c>
      <c r="AI158" s="116" t="str">
        <f t="shared" si="23"/>
        <v xml:space="preserve"> </v>
      </c>
      <c r="AJ158" s="116"/>
      <c r="AK158" s="116" t="str">
        <f t="shared" si="24"/>
        <v xml:space="preserve"> </v>
      </c>
      <c r="AL158" s="116" t="str">
        <f t="shared" si="24"/>
        <v xml:space="preserve"> </v>
      </c>
      <c r="AM158" s="116" t="str">
        <f t="shared" si="24"/>
        <v xml:space="preserve"> </v>
      </c>
      <c r="AN158" s="116" t="str">
        <f t="shared" si="24"/>
        <v xml:space="preserve"> </v>
      </c>
      <c r="AO158" s="116" t="str">
        <f t="shared" si="24"/>
        <v xml:space="preserve"> </v>
      </c>
      <c r="AP158" s="116" t="str">
        <f t="shared" si="24"/>
        <v xml:space="preserve"> </v>
      </c>
      <c r="AQ158" s="116" t="str">
        <f t="shared" si="24"/>
        <v xml:space="preserve"> </v>
      </c>
      <c r="AR158" s="116" t="str">
        <f t="shared" si="24"/>
        <v xml:space="preserve"> </v>
      </c>
      <c r="AS158" s="116" t="str">
        <f t="shared" si="24"/>
        <v xml:space="preserve"> </v>
      </c>
      <c r="AT158" s="116" t="str">
        <f t="shared" si="24"/>
        <v xml:space="preserve"> </v>
      </c>
      <c r="AU158" s="116" t="str">
        <f t="shared" si="25"/>
        <v xml:space="preserve"> </v>
      </c>
      <c r="AV158" s="116" t="str">
        <f t="shared" si="25"/>
        <v xml:space="preserve"> </v>
      </c>
      <c r="AW158" s="116" t="str">
        <f t="shared" si="25"/>
        <v xml:space="preserve"> </v>
      </c>
      <c r="AX158" s="116" t="str">
        <f t="shared" si="25"/>
        <v xml:space="preserve"> </v>
      </c>
      <c r="AY158" s="116" t="str">
        <f t="shared" si="25"/>
        <v xml:space="preserve"> </v>
      </c>
      <c r="AZ158" s="116" t="str">
        <f t="shared" si="25"/>
        <v xml:space="preserve"> </v>
      </c>
      <c r="BA158" s="116" t="str">
        <f t="shared" si="25"/>
        <v xml:space="preserve"> </v>
      </c>
      <c r="BB158" s="116" t="str">
        <f t="shared" si="25"/>
        <v xml:space="preserve"> </v>
      </c>
      <c r="BC158" s="116" t="str">
        <f t="shared" si="25"/>
        <v xml:space="preserve"> </v>
      </c>
      <c r="BD158" s="116" t="str">
        <f t="shared" si="25"/>
        <v xml:space="preserve"> </v>
      </c>
    </row>
    <row r="159" spans="1:56" ht="27" customHeight="1" x14ac:dyDescent="0.55000000000000004">
      <c r="B159" s="33"/>
      <c r="C159" s="33"/>
      <c r="D159" s="104"/>
      <c r="E159" s="33"/>
      <c r="F159" s="105"/>
      <c r="G159" s="101" t="s">
        <v>908</v>
      </c>
      <c r="H159" s="115">
        <f t="shared" si="21"/>
        <v>2</v>
      </c>
      <c r="I159" s="180" t="str">
        <f t="shared" si="26"/>
        <v xml:space="preserve">1033 1045                   </v>
      </c>
      <c r="J159" s="181"/>
      <c r="K159" s="181"/>
      <c r="L159" s="182"/>
      <c r="M159" s="180" t="str">
        <f>CONCATENATE(AK159,AL159,AM159,AN159,AO159,AP159,AQ159,AR159,AS159,AT159,AU159,AV159,AW159,AX159,AY159,AZ159,BA159,BB159,BC159,BD159)</f>
        <v xml:space="preserve">                    </v>
      </c>
      <c r="N159" s="185"/>
      <c r="O159" s="116"/>
      <c r="P159" s="116" t="str">
        <f t="shared" si="22"/>
        <v xml:space="preserve">1033 </v>
      </c>
      <c r="Q159" s="116" t="str">
        <f t="shared" si="22"/>
        <v xml:space="preserve">1045 </v>
      </c>
      <c r="R159" s="116" t="str">
        <f t="shared" si="22"/>
        <v xml:space="preserve"> </v>
      </c>
      <c r="S159" s="116" t="str">
        <f t="shared" si="22"/>
        <v xml:space="preserve"> </v>
      </c>
      <c r="T159" s="116" t="str">
        <f t="shared" si="22"/>
        <v xml:space="preserve"> </v>
      </c>
      <c r="U159" s="116" t="str">
        <f t="shared" si="22"/>
        <v xml:space="preserve"> </v>
      </c>
      <c r="V159" s="116" t="str">
        <f t="shared" si="22"/>
        <v xml:space="preserve"> </v>
      </c>
      <c r="W159" s="116" t="str">
        <f t="shared" si="22"/>
        <v xml:space="preserve"> </v>
      </c>
      <c r="X159" s="116" t="str">
        <f t="shared" si="22"/>
        <v xml:space="preserve"> </v>
      </c>
      <c r="Y159" s="116" t="str">
        <f t="shared" si="22"/>
        <v xml:space="preserve"> </v>
      </c>
      <c r="Z159" s="116" t="str">
        <f t="shared" si="23"/>
        <v xml:space="preserve"> </v>
      </c>
      <c r="AA159" s="116" t="str">
        <f t="shared" si="23"/>
        <v xml:space="preserve"> </v>
      </c>
      <c r="AB159" s="116" t="str">
        <f t="shared" si="23"/>
        <v xml:space="preserve"> </v>
      </c>
      <c r="AC159" s="116" t="str">
        <f t="shared" si="23"/>
        <v xml:space="preserve"> </v>
      </c>
      <c r="AD159" s="116" t="str">
        <f t="shared" si="23"/>
        <v xml:space="preserve"> </v>
      </c>
      <c r="AE159" s="116" t="str">
        <f t="shared" si="23"/>
        <v xml:space="preserve"> </v>
      </c>
      <c r="AF159" s="116" t="str">
        <f t="shared" si="23"/>
        <v xml:space="preserve"> </v>
      </c>
      <c r="AG159" s="116" t="str">
        <f t="shared" si="23"/>
        <v xml:space="preserve"> </v>
      </c>
      <c r="AH159" s="116" t="str">
        <f t="shared" si="23"/>
        <v xml:space="preserve"> </v>
      </c>
      <c r="AI159" s="116" t="str">
        <f t="shared" si="23"/>
        <v xml:space="preserve"> </v>
      </c>
      <c r="AJ159" s="116"/>
      <c r="AK159" s="116" t="str">
        <f t="shared" si="24"/>
        <v xml:space="preserve"> </v>
      </c>
      <c r="AL159" s="116" t="str">
        <f t="shared" si="24"/>
        <v xml:space="preserve"> </v>
      </c>
      <c r="AM159" s="116" t="str">
        <f t="shared" si="24"/>
        <v xml:space="preserve"> </v>
      </c>
      <c r="AN159" s="116" t="str">
        <f t="shared" si="24"/>
        <v xml:space="preserve"> </v>
      </c>
      <c r="AO159" s="116" t="str">
        <f t="shared" si="24"/>
        <v xml:space="preserve"> </v>
      </c>
      <c r="AP159" s="116" t="str">
        <f t="shared" si="24"/>
        <v xml:space="preserve"> </v>
      </c>
      <c r="AQ159" s="116" t="str">
        <f t="shared" si="24"/>
        <v xml:space="preserve"> </v>
      </c>
      <c r="AR159" s="116" t="str">
        <f t="shared" si="24"/>
        <v xml:space="preserve"> </v>
      </c>
      <c r="AS159" s="116" t="str">
        <f t="shared" si="24"/>
        <v xml:space="preserve"> </v>
      </c>
      <c r="AT159" s="116" t="str">
        <f t="shared" si="24"/>
        <v xml:space="preserve"> </v>
      </c>
      <c r="AU159" s="116" t="str">
        <f t="shared" si="25"/>
        <v xml:space="preserve"> </v>
      </c>
      <c r="AV159" s="116" t="str">
        <f t="shared" si="25"/>
        <v xml:space="preserve"> </v>
      </c>
      <c r="AW159" s="116" t="str">
        <f t="shared" si="25"/>
        <v xml:space="preserve"> </v>
      </c>
      <c r="AX159" s="116" t="str">
        <f t="shared" si="25"/>
        <v xml:space="preserve"> </v>
      </c>
      <c r="AY159" s="116" t="str">
        <f t="shared" si="25"/>
        <v xml:space="preserve"> </v>
      </c>
      <c r="AZ159" s="116" t="str">
        <f t="shared" si="25"/>
        <v xml:space="preserve"> </v>
      </c>
      <c r="BA159" s="116" t="str">
        <f t="shared" si="25"/>
        <v xml:space="preserve"> </v>
      </c>
      <c r="BB159" s="116" t="str">
        <f t="shared" si="25"/>
        <v xml:space="preserve"> </v>
      </c>
      <c r="BC159" s="116" t="str">
        <f t="shared" si="25"/>
        <v xml:space="preserve"> </v>
      </c>
      <c r="BD159" s="116" t="str">
        <f t="shared" si="25"/>
        <v xml:space="preserve"> </v>
      </c>
    </row>
    <row r="160" spans="1:56" ht="27" customHeight="1" x14ac:dyDescent="0.55000000000000004">
      <c r="B160" s="33"/>
      <c r="C160" s="33"/>
      <c r="D160" s="104"/>
      <c r="E160" s="33"/>
      <c r="F160" s="105"/>
      <c r="G160" s="101" t="s">
        <v>909</v>
      </c>
      <c r="H160" s="115">
        <f t="shared" si="21"/>
        <v>1</v>
      </c>
      <c r="I160" s="180" t="str">
        <f t="shared" si="26"/>
        <v xml:space="preserve">1032                    </v>
      </c>
      <c r="J160" s="181"/>
      <c r="K160" s="181"/>
      <c r="L160" s="182"/>
      <c r="M160" s="183" t="str">
        <f t="shared" si="27"/>
        <v xml:space="preserve">                    </v>
      </c>
      <c r="N160" s="184"/>
      <c r="O160" s="116"/>
      <c r="P160" s="116" t="str">
        <f t="shared" si="22"/>
        <v xml:space="preserve">1032 </v>
      </c>
      <c r="Q160" s="116" t="str">
        <f t="shared" si="22"/>
        <v xml:space="preserve"> </v>
      </c>
      <c r="R160" s="116" t="str">
        <f t="shared" si="22"/>
        <v xml:space="preserve"> </v>
      </c>
      <c r="S160" s="116" t="str">
        <f t="shared" si="22"/>
        <v xml:space="preserve"> </v>
      </c>
      <c r="T160" s="116" t="str">
        <f t="shared" si="22"/>
        <v xml:space="preserve"> </v>
      </c>
      <c r="U160" s="116" t="str">
        <f t="shared" si="22"/>
        <v xml:space="preserve"> </v>
      </c>
      <c r="V160" s="116" t="str">
        <f t="shared" si="22"/>
        <v xml:space="preserve"> </v>
      </c>
      <c r="W160" s="116" t="str">
        <f t="shared" si="22"/>
        <v xml:space="preserve"> </v>
      </c>
      <c r="X160" s="116" t="str">
        <f t="shared" si="22"/>
        <v xml:space="preserve"> </v>
      </c>
      <c r="Y160" s="116" t="str">
        <f t="shared" si="22"/>
        <v xml:space="preserve"> </v>
      </c>
      <c r="Z160" s="116" t="str">
        <f t="shared" si="23"/>
        <v xml:space="preserve"> </v>
      </c>
      <c r="AA160" s="116" t="str">
        <f t="shared" si="23"/>
        <v xml:space="preserve"> </v>
      </c>
      <c r="AB160" s="116" t="str">
        <f t="shared" si="23"/>
        <v xml:space="preserve"> </v>
      </c>
      <c r="AC160" s="116" t="str">
        <f t="shared" si="23"/>
        <v xml:space="preserve"> </v>
      </c>
      <c r="AD160" s="116" t="str">
        <f t="shared" si="23"/>
        <v xml:space="preserve"> </v>
      </c>
      <c r="AE160" s="116" t="str">
        <f t="shared" si="23"/>
        <v xml:space="preserve"> </v>
      </c>
      <c r="AF160" s="116" t="str">
        <f t="shared" si="23"/>
        <v xml:space="preserve"> </v>
      </c>
      <c r="AG160" s="116" t="str">
        <f t="shared" si="23"/>
        <v xml:space="preserve"> </v>
      </c>
      <c r="AH160" s="116" t="str">
        <f t="shared" si="23"/>
        <v xml:space="preserve"> </v>
      </c>
      <c r="AI160" s="116" t="str">
        <f t="shared" si="23"/>
        <v xml:space="preserve"> </v>
      </c>
      <c r="AJ160" s="116"/>
      <c r="AK160" s="116" t="str">
        <f t="shared" si="24"/>
        <v xml:space="preserve"> </v>
      </c>
      <c r="AL160" s="116" t="str">
        <f t="shared" si="24"/>
        <v xml:space="preserve"> </v>
      </c>
      <c r="AM160" s="116" t="str">
        <f t="shared" si="24"/>
        <v xml:space="preserve"> </v>
      </c>
      <c r="AN160" s="116" t="str">
        <f t="shared" si="24"/>
        <v xml:space="preserve"> </v>
      </c>
      <c r="AO160" s="116" t="str">
        <f t="shared" si="24"/>
        <v xml:space="preserve"> </v>
      </c>
      <c r="AP160" s="116" t="str">
        <f t="shared" si="24"/>
        <v xml:space="preserve"> </v>
      </c>
      <c r="AQ160" s="116" t="str">
        <f t="shared" si="24"/>
        <v xml:space="preserve"> </v>
      </c>
      <c r="AR160" s="116" t="str">
        <f t="shared" si="24"/>
        <v xml:space="preserve"> </v>
      </c>
      <c r="AS160" s="116" t="str">
        <f t="shared" si="24"/>
        <v xml:space="preserve"> </v>
      </c>
      <c r="AT160" s="116" t="str">
        <f t="shared" si="24"/>
        <v xml:space="preserve"> </v>
      </c>
      <c r="AU160" s="116" t="str">
        <f t="shared" si="25"/>
        <v xml:space="preserve"> </v>
      </c>
      <c r="AV160" s="116" t="str">
        <f t="shared" si="25"/>
        <v xml:space="preserve"> </v>
      </c>
      <c r="AW160" s="116" t="str">
        <f t="shared" si="25"/>
        <v xml:space="preserve"> </v>
      </c>
      <c r="AX160" s="116" t="str">
        <f t="shared" si="25"/>
        <v xml:space="preserve"> </v>
      </c>
      <c r="AY160" s="116" t="str">
        <f t="shared" si="25"/>
        <v xml:space="preserve"> </v>
      </c>
      <c r="AZ160" s="116" t="str">
        <f t="shared" si="25"/>
        <v xml:space="preserve"> </v>
      </c>
      <c r="BA160" s="116" t="str">
        <f t="shared" si="25"/>
        <v xml:space="preserve"> </v>
      </c>
      <c r="BB160" s="116" t="str">
        <f t="shared" si="25"/>
        <v xml:space="preserve"> </v>
      </c>
      <c r="BC160" s="116" t="str">
        <f t="shared" si="25"/>
        <v xml:space="preserve"> </v>
      </c>
      <c r="BD160" s="116" t="str">
        <f t="shared" si="25"/>
        <v xml:space="preserve"> </v>
      </c>
    </row>
    <row r="161" spans="2:56" ht="27" customHeight="1" x14ac:dyDescent="0.55000000000000004">
      <c r="B161" s="33"/>
      <c r="C161" s="33"/>
      <c r="D161" s="104"/>
      <c r="E161" s="33"/>
      <c r="F161" s="105"/>
      <c r="G161" s="101" t="s">
        <v>925</v>
      </c>
      <c r="H161" s="115">
        <f t="shared" si="21"/>
        <v>1</v>
      </c>
      <c r="I161" s="180" t="str">
        <f t="shared" si="26"/>
        <v xml:space="preserve">1031                    </v>
      </c>
      <c r="J161" s="181"/>
      <c r="K161" s="181"/>
      <c r="L161" s="182"/>
      <c r="M161" s="173" t="str">
        <f t="shared" si="27"/>
        <v xml:space="preserve">                    </v>
      </c>
      <c r="N161" s="174"/>
      <c r="O161" s="116"/>
      <c r="P161" s="116" t="str">
        <f t="shared" si="22"/>
        <v xml:space="preserve">1031 </v>
      </c>
      <c r="Q161" s="116" t="str">
        <f t="shared" si="22"/>
        <v xml:space="preserve"> </v>
      </c>
      <c r="R161" s="116" t="str">
        <f t="shared" si="22"/>
        <v xml:space="preserve"> </v>
      </c>
      <c r="S161" s="116" t="str">
        <f t="shared" si="22"/>
        <v xml:space="preserve"> </v>
      </c>
      <c r="T161" s="116" t="str">
        <f t="shared" si="22"/>
        <v xml:space="preserve"> </v>
      </c>
      <c r="U161" s="116" t="str">
        <f t="shared" si="22"/>
        <v xml:space="preserve"> </v>
      </c>
      <c r="V161" s="116" t="str">
        <f t="shared" si="22"/>
        <v xml:space="preserve"> </v>
      </c>
      <c r="W161" s="116" t="str">
        <f t="shared" si="22"/>
        <v xml:space="preserve"> </v>
      </c>
      <c r="X161" s="116" t="str">
        <f t="shared" si="22"/>
        <v xml:space="preserve"> </v>
      </c>
      <c r="Y161" s="116" t="str">
        <f t="shared" si="22"/>
        <v xml:space="preserve"> </v>
      </c>
      <c r="Z161" s="116" t="str">
        <f t="shared" si="23"/>
        <v xml:space="preserve"> </v>
      </c>
      <c r="AA161" s="116" t="str">
        <f t="shared" si="23"/>
        <v xml:space="preserve"> </v>
      </c>
      <c r="AB161" s="116" t="str">
        <f t="shared" si="23"/>
        <v xml:space="preserve"> </v>
      </c>
      <c r="AC161" s="116" t="str">
        <f t="shared" si="23"/>
        <v xml:space="preserve"> </v>
      </c>
      <c r="AD161" s="116" t="str">
        <f t="shared" si="23"/>
        <v xml:space="preserve"> </v>
      </c>
      <c r="AE161" s="116" t="str">
        <f t="shared" si="23"/>
        <v xml:space="preserve"> </v>
      </c>
      <c r="AF161" s="116" t="str">
        <f t="shared" si="23"/>
        <v xml:space="preserve"> </v>
      </c>
      <c r="AG161" s="116" t="str">
        <f t="shared" si="23"/>
        <v xml:space="preserve"> </v>
      </c>
      <c r="AH161" s="116" t="str">
        <f t="shared" si="23"/>
        <v xml:space="preserve"> </v>
      </c>
      <c r="AI161" s="116" t="str">
        <f t="shared" si="23"/>
        <v xml:space="preserve"> </v>
      </c>
      <c r="AJ161" s="116"/>
      <c r="AK161" s="116" t="str">
        <f t="shared" si="24"/>
        <v xml:space="preserve"> </v>
      </c>
      <c r="AL161" s="116" t="str">
        <f t="shared" si="24"/>
        <v xml:space="preserve"> </v>
      </c>
      <c r="AM161" s="116" t="str">
        <f t="shared" si="24"/>
        <v xml:space="preserve"> </v>
      </c>
      <c r="AN161" s="116" t="str">
        <f t="shared" si="24"/>
        <v xml:space="preserve"> </v>
      </c>
      <c r="AO161" s="116" t="str">
        <f t="shared" si="24"/>
        <v xml:space="preserve"> </v>
      </c>
      <c r="AP161" s="116" t="str">
        <f t="shared" si="24"/>
        <v xml:space="preserve"> </v>
      </c>
      <c r="AQ161" s="116" t="str">
        <f t="shared" si="24"/>
        <v xml:space="preserve"> </v>
      </c>
      <c r="AR161" s="116" t="str">
        <f t="shared" si="24"/>
        <v xml:space="preserve"> </v>
      </c>
      <c r="AS161" s="116" t="str">
        <f t="shared" si="24"/>
        <v xml:space="preserve"> </v>
      </c>
      <c r="AT161" s="116" t="str">
        <f t="shared" si="24"/>
        <v xml:space="preserve"> </v>
      </c>
      <c r="AU161" s="116" t="str">
        <f t="shared" si="25"/>
        <v xml:space="preserve"> </v>
      </c>
      <c r="AV161" s="116" t="str">
        <f t="shared" si="25"/>
        <v xml:space="preserve"> </v>
      </c>
      <c r="AW161" s="116" t="str">
        <f t="shared" si="25"/>
        <v xml:space="preserve"> </v>
      </c>
      <c r="AX161" s="116" t="str">
        <f t="shared" si="25"/>
        <v xml:space="preserve"> </v>
      </c>
      <c r="AY161" s="116" t="str">
        <f t="shared" si="25"/>
        <v xml:space="preserve"> </v>
      </c>
      <c r="AZ161" s="116" t="str">
        <f t="shared" si="25"/>
        <v xml:space="preserve"> </v>
      </c>
      <c r="BA161" s="116" t="str">
        <f t="shared" si="25"/>
        <v xml:space="preserve"> </v>
      </c>
      <c r="BB161" s="116" t="str">
        <f t="shared" si="25"/>
        <v xml:space="preserve"> </v>
      </c>
      <c r="BC161" s="116" t="str">
        <f t="shared" si="25"/>
        <v xml:space="preserve"> </v>
      </c>
      <c r="BD161" s="116" t="str">
        <f t="shared" si="25"/>
        <v xml:space="preserve"> </v>
      </c>
    </row>
    <row r="162" spans="2:56" ht="27" customHeight="1" x14ac:dyDescent="0.55000000000000004">
      <c r="B162" s="33"/>
      <c r="C162" s="33"/>
      <c r="D162" s="104"/>
      <c r="E162" s="33"/>
      <c r="F162" s="105"/>
      <c r="G162" s="117" t="s">
        <v>926</v>
      </c>
      <c r="H162" s="115">
        <f t="shared" si="21"/>
        <v>0</v>
      </c>
      <c r="I162" s="180" t="str">
        <f t="shared" si="26"/>
        <v xml:space="preserve">                    </v>
      </c>
      <c r="J162" s="181"/>
      <c r="K162" s="181"/>
      <c r="L162" s="182"/>
      <c r="M162" s="173" t="str">
        <f t="shared" ref="M162:M166" si="28">CONCATENATE(AK162,AL162,AM162,AN162,AO162,AP162,AQ162,AR162,AS162,AT162,AU162,AV162,AW162,AX162,AY162,AZ162,BA162,BB162,BC162,BD162)</f>
        <v xml:space="preserve">                    </v>
      </c>
      <c r="N162" s="174"/>
      <c r="O162" s="116"/>
      <c r="P162" s="116" t="str">
        <f t="shared" si="22"/>
        <v xml:space="preserve"> </v>
      </c>
      <c r="Q162" s="116" t="str">
        <f t="shared" si="22"/>
        <v xml:space="preserve"> </v>
      </c>
      <c r="R162" s="116" t="str">
        <f t="shared" si="22"/>
        <v xml:space="preserve"> </v>
      </c>
      <c r="S162" s="116" t="str">
        <f t="shared" si="22"/>
        <v xml:space="preserve"> </v>
      </c>
      <c r="T162" s="116" t="str">
        <f t="shared" si="22"/>
        <v xml:space="preserve"> </v>
      </c>
      <c r="U162" s="116" t="str">
        <f t="shared" si="22"/>
        <v xml:space="preserve"> </v>
      </c>
      <c r="V162" s="116" t="str">
        <f t="shared" si="22"/>
        <v xml:space="preserve"> </v>
      </c>
      <c r="W162" s="116" t="str">
        <f t="shared" si="22"/>
        <v xml:space="preserve"> </v>
      </c>
      <c r="X162" s="116" t="str">
        <f t="shared" si="22"/>
        <v xml:space="preserve"> </v>
      </c>
      <c r="Y162" s="116" t="str">
        <f t="shared" si="22"/>
        <v xml:space="preserve"> </v>
      </c>
      <c r="Z162" s="116" t="str">
        <f t="shared" si="23"/>
        <v xml:space="preserve"> </v>
      </c>
      <c r="AA162" s="116" t="str">
        <f t="shared" si="23"/>
        <v xml:space="preserve"> </v>
      </c>
      <c r="AB162" s="116" t="str">
        <f t="shared" si="23"/>
        <v xml:space="preserve"> </v>
      </c>
      <c r="AC162" s="116" t="str">
        <f t="shared" si="23"/>
        <v xml:space="preserve"> </v>
      </c>
      <c r="AD162" s="116" t="str">
        <f t="shared" si="23"/>
        <v xml:space="preserve"> </v>
      </c>
      <c r="AE162" s="116" t="str">
        <f t="shared" si="23"/>
        <v xml:space="preserve"> </v>
      </c>
      <c r="AF162" s="116" t="str">
        <f t="shared" si="23"/>
        <v xml:space="preserve"> </v>
      </c>
      <c r="AG162" s="116" t="str">
        <f t="shared" si="23"/>
        <v xml:space="preserve"> </v>
      </c>
      <c r="AH162" s="116" t="str">
        <f t="shared" si="23"/>
        <v xml:space="preserve"> </v>
      </c>
      <c r="AI162" s="116" t="str">
        <f t="shared" si="23"/>
        <v xml:space="preserve"> </v>
      </c>
      <c r="AJ162" s="116"/>
      <c r="AK162" s="116" t="str">
        <f t="shared" si="24"/>
        <v xml:space="preserve"> </v>
      </c>
      <c r="AL162" s="116" t="str">
        <f t="shared" si="24"/>
        <v xml:space="preserve"> </v>
      </c>
      <c r="AM162" s="116" t="str">
        <f t="shared" si="24"/>
        <v xml:space="preserve"> </v>
      </c>
      <c r="AN162" s="116" t="str">
        <f t="shared" si="24"/>
        <v xml:space="preserve"> </v>
      </c>
      <c r="AO162" s="116" t="str">
        <f t="shared" si="24"/>
        <v xml:space="preserve"> </v>
      </c>
      <c r="AP162" s="116" t="str">
        <f t="shared" si="24"/>
        <v xml:space="preserve"> </v>
      </c>
      <c r="AQ162" s="116" t="str">
        <f t="shared" si="24"/>
        <v xml:space="preserve"> </v>
      </c>
      <c r="AR162" s="116" t="str">
        <f t="shared" si="24"/>
        <v xml:space="preserve"> </v>
      </c>
      <c r="AS162" s="116" t="str">
        <f t="shared" si="24"/>
        <v xml:space="preserve"> </v>
      </c>
      <c r="AT162" s="116" t="str">
        <f t="shared" si="24"/>
        <v xml:space="preserve"> </v>
      </c>
      <c r="AU162" s="116" t="str">
        <f t="shared" si="25"/>
        <v xml:space="preserve"> </v>
      </c>
      <c r="AV162" s="116" t="str">
        <f t="shared" si="25"/>
        <v xml:space="preserve"> </v>
      </c>
      <c r="AW162" s="116" t="str">
        <f t="shared" si="25"/>
        <v xml:space="preserve"> </v>
      </c>
      <c r="AX162" s="116" t="str">
        <f t="shared" si="25"/>
        <v xml:space="preserve"> </v>
      </c>
      <c r="AY162" s="116" t="str">
        <f t="shared" si="25"/>
        <v xml:space="preserve"> </v>
      </c>
      <c r="AZ162" s="116" t="str">
        <f t="shared" si="25"/>
        <v xml:space="preserve"> </v>
      </c>
      <c r="BA162" s="116" t="str">
        <f t="shared" si="25"/>
        <v xml:space="preserve"> </v>
      </c>
      <c r="BB162" s="116" t="str">
        <f t="shared" si="25"/>
        <v xml:space="preserve"> </v>
      </c>
      <c r="BC162" s="116" t="str">
        <f t="shared" si="25"/>
        <v xml:space="preserve"> </v>
      </c>
      <c r="BD162" s="116" t="str">
        <f t="shared" si="25"/>
        <v xml:space="preserve"> </v>
      </c>
    </row>
    <row r="163" spans="2:56" ht="27" customHeight="1" x14ac:dyDescent="0.55000000000000004">
      <c r="B163" s="33"/>
      <c r="C163" s="33"/>
      <c r="D163" s="104"/>
      <c r="E163" s="33"/>
      <c r="F163" s="105">
        <v>1.8571428571428572</v>
      </c>
      <c r="G163" s="117" t="s">
        <v>910</v>
      </c>
      <c r="H163" s="115">
        <f t="shared" si="21"/>
        <v>0</v>
      </c>
      <c r="I163" s="180" t="str">
        <f t="shared" si="26"/>
        <v xml:space="preserve">                    </v>
      </c>
      <c r="J163" s="181"/>
      <c r="K163" s="181"/>
      <c r="L163" s="182"/>
      <c r="M163" s="173" t="str">
        <f t="shared" si="28"/>
        <v xml:space="preserve">                    </v>
      </c>
      <c r="N163" s="174"/>
      <c r="O163" s="116"/>
      <c r="P163" s="116" t="str">
        <f t="shared" si="22"/>
        <v xml:space="preserve"> </v>
      </c>
      <c r="Q163" s="116" t="str">
        <f t="shared" si="22"/>
        <v xml:space="preserve"> </v>
      </c>
      <c r="R163" s="116" t="str">
        <f t="shared" si="22"/>
        <v xml:space="preserve"> </v>
      </c>
      <c r="S163" s="116" t="str">
        <f t="shared" si="22"/>
        <v xml:space="preserve"> </v>
      </c>
      <c r="T163" s="116" t="str">
        <f t="shared" si="22"/>
        <v xml:space="preserve"> </v>
      </c>
      <c r="U163" s="116" t="str">
        <f t="shared" si="22"/>
        <v xml:space="preserve"> </v>
      </c>
      <c r="V163" s="116" t="str">
        <f t="shared" si="22"/>
        <v xml:space="preserve"> </v>
      </c>
      <c r="W163" s="116" t="str">
        <f t="shared" si="22"/>
        <v xml:space="preserve"> </v>
      </c>
      <c r="X163" s="116" t="str">
        <f t="shared" si="22"/>
        <v xml:space="preserve"> </v>
      </c>
      <c r="Y163" s="116" t="str">
        <f t="shared" si="22"/>
        <v xml:space="preserve"> </v>
      </c>
      <c r="Z163" s="116" t="str">
        <f t="shared" si="23"/>
        <v xml:space="preserve"> </v>
      </c>
      <c r="AA163" s="116" t="str">
        <f t="shared" si="23"/>
        <v xml:space="preserve"> </v>
      </c>
      <c r="AB163" s="116" t="str">
        <f t="shared" si="23"/>
        <v xml:space="preserve"> </v>
      </c>
      <c r="AC163" s="116" t="str">
        <f t="shared" si="23"/>
        <v xml:space="preserve"> </v>
      </c>
      <c r="AD163" s="116" t="str">
        <f t="shared" si="23"/>
        <v xml:space="preserve"> </v>
      </c>
      <c r="AE163" s="116" t="str">
        <f t="shared" si="23"/>
        <v xml:space="preserve"> </v>
      </c>
      <c r="AF163" s="116" t="str">
        <f t="shared" si="23"/>
        <v xml:space="preserve"> </v>
      </c>
      <c r="AG163" s="116" t="str">
        <f t="shared" si="23"/>
        <v xml:space="preserve"> </v>
      </c>
      <c r="AH163" s="116" t="str">
        <f t="shared" si="23"/>
        <v xml:space="preserve"> </v>
      </c>
      <c r="AI163" s="116" t="str">
        <f t="shared" si="23"/>
        <v xml:space="preserve"> </v>
      </c>
      <c r="AJ163" s="116"/>
      <c r="AK163" s="116" t="str">
        <f t="shared" si="24"/>
        <v xml:space="preserve"> </v>
      </c>
      <c r="AL163" s="116" t="str">
        <f t="shared" si="24"/>
        <v xml:space="preserve"> </v>
      </c>
      <c r="AM163" s="116" t="str">
        <f t="shared" si="24"/>
        <v xml:space="preserve"> </v>
      </c>
      <c r="AN163" s="116" t="str">
        <f t="shared" si="24"/>
        <v xml:space="preserve"> </v>
      </c>
      <c r="AO163" s="116" t="str">
        <f t="shared" si="24"/>
        <v xml:space="preserve"> </v>
      </c>
      <c r="AP163" s="116" t="str">
        <f t="shared" si="24"/>
        <v xml:space="preserve"> </v>
      </c>
      <c r="AQ163" s="116" t="str">
        <f t="shared" si="24"/>
        <v xml:space="preserve"> </v>
      </c>
      <c r="AR163" s="116" t="str">
        <f t="shared" si="24"/>
        <v xml:space="preserve"> </v>
      </c>
      <c r="AS163" s="116" t="str">
        <f t="shared" si="24"/>
        <v xml:space="preserve"> </v>
      </c>
      <c r="AT163" s="116" t="str">
        <f t="shared" si="24"/>
        <v xml:space="preserve"> </v>
      </c>
      <c r="AU163" s="116" t="str">
        <f t="shared" si="25"/>
        <v xml:space="preserve"> </v>
      </c>
      <c r="AV163" s="116" t="str">
        <f t="shared" si="25"/>
        <v xml:space="preserve"> </v>
      </c>
      <c r="AW163" s="116" t="str">
        <f t="shared" si="25"/>
        <v xml:space="preserve"> </v>
      </c>
      <c r="AX163" s="116" t="str">
        <f t="shared" si="25"/>
        <v xml:space="preserve"> </v>
      </c>
      <c r="AY163" s="116" t="str">
        <f t="shared" si="25"/>
        <v xml:space="preserve"> </v>
      </c>
      <c r="AZ163" s="116" t="str">
        <f t="shared" si="25"/>
        <v xml:space="preserve"> </v>
      </c>
      <c r="BA163" s="116" t="str">
        <f t="shared" si="25"/>
        <v xml:space="preserve"> </v>
      </c>
      <c r="BB163" s="116" t="str">
        <f t="shared" si="25"/>
        <v xml:space="preserve"> </v>
      </c>
      <c r="BC163" s="116" t="str">
        <f t="shared" si="25"/>
        <v xml:space="preserve"> </v>
      </c>
      <c r="BD163" s="116" t="str">
        <f t="shared" si="25"/>
        <v xml:space="preserve"> </v>
      </c>
    </row>
    <row r="164" spans="2:56" ht="27" customHeight="1" x14ac:dyDescent="0.55000000000000004">
      <c r="B164" s="33"/>
      <c r="C164" s="33"/>
      <c r="D164" s="104"/>
      <c r="E164" s="33"/>
      <c r="F164" s="105"/>
      <c r="G164" s="117" t="s">
        <v>927</v>
      </c>
      <c r="H164" s="115">
        <f t="shared" si="21"/>
        <v>0</v>
      </c>
      <c r="I164" s="180" t="str">
        <f t="shared" si="26"/>
        <v xml:space="preserve">                    </v>
      </c>
      <c r="J164" s="181"/>
      <c r="K164" s="181"/>
      <c r="L164" s="182"/>
      <c r="M164" s="173" t="str">
        <f t="shared" si="28"/>
        <v xml:space="preserve">                    </v>
      </c>
      <c r="N164" s="174"/>
      <c r="O164" s="116"/>
      <c r="P164" s="116" t="str">
        <f t="shared" si="22"/>
        <v xml:space="preserve"> </v>
      </c>
      <c r="Q164" s="116" t="str">
        <f t="shared" si="22"/>
        <v xml:space="preserve"> </v>
      </c>
      <c r="R164" s="116" t="str">
        <f t="shared" si="22"/>
        <v xml:space="preserve"> </v>
      </c>
      <c r="S164" s="116" t="str">
        <f t="shared" si="22"/>
        <v xml:space="preserve"> </v>
      </c>
      <c r="T164" s="116" t="str">
        <f t="shared" si="22"/>
        <v xml:space="preserve"> </v>
      </c>
      <c r="U164" s="116" t="str">
        <f t="shared" si="22"/>
        <v xml:space="preserve"> </v>
      </c>
      <c r="V164" s="116" t="str">
        <f t="shared" si="22"/>
        <v xml:space="preserve"> </v>
      </c>
      <c r="W164" s="116" t="str">
        <f t="shared" si="22"/>
        <v xml:space="preserve"> </v>
      </c>
      <c r="X164" s="116" t="str">
        <f t="shared" si="22"/>
        <v xml:space="preserve"> </v>
      </c>
      <c r="Y164" s="116" t="str">
        <f t="shared" si="22"/>
        <v xml:space="preserve"> </v>
      </c>
      <c r="Z164" s="116" t="str">
        <f t="shared" si="23"/>
        <v xml:space="preserve"> </v>
      </c>
      <c r="AA164" s="116" t="str">
        <f t="shared" si="23"/>
        <v xml:space="preserve"> </v>
      </c>
      <c r="AB164" s="116" t="str">
        <f t="shared" si="23"/>
        <v xml:space="preserve"> </v>
      </c>
      <c r="AC164" s="116" t="str">
        <f t="shared" si="23"/>
        <v xml:space="preserve"> </v>
      </c>
      <c r="AD164" s="116" t="str">
        <f t="shared" si="23"/>
        <v xml:space="preserve"> </v>
      </c>
      <c r="AE164" s="116" t="str">
        <f t="shared" si="23"/>
        <v xml:space="preserve"> </v>
      </c>
      <c r="AF164" s="116" t="str">
        <f t="shared" si="23"/>
        <v xml:space="preserve"> </v>
      </c>
      <c r="AG164" s="116" t="str">
        <f t="shared" si="23"/>
        <v xml:space="preserve"> </v>
      </c>
      <c r="AH164" s="116" t="str">
        <f t="shared" si="23"/>
        <v xml:space="preserve"> </v>
      </c>
      <c r="AI164" s="116" t="str">
        <f t="shared" si="23"/>
        <v xml:space="preserve"> </v>
      </c>
      <c r="AJ164" s="116"/>
      <c r="AK164" s="116" t="str">
        <f t="shared" si="24"/>
        <v xml:space="preserve"> </v>
      </c>
      <c r="AL164" s="116" t="str">
        <f t="shared" si="24"/>
        <v xml:space="preserve"> </v>
      </c>
      <c r="AM164" s="116" t="str">
        <f t="shared" si="24"/>
        <v xml:space="preserve"> </v>
      </c>
      <c r="AN164" s="116" t="str">
        <f t="shared" si="24"/>
        <v xml:space="preserve"> </v>
      </c>
      <c r="AO164" s="116" t="str">
        <f t="shared" si="24"/>
        <v xml:space="preserve"> </v>
      </c>
      <c r="AP164" s="116" t="str">
        <f t="shared" si="24"/>
        <v xml:space="preserve"> </v>
      </c>
      <c r="AQ164" s="116" t="str">
        <f t="shared" si="24"/>
        <v xml:space="preserve"> </v>
      </c>
      <c r="AR164" s="116" t="str">
        <f t="shared" si="24"/>
        <v xml:space="preserve"> </v>
      </c>
      <c r="AS164" s="116" t="str">
        <f t="shared" si="24"/>
        <v xml:space="preserve"> </v>
      </c>
      <c r="AT164" s="116" t="str">
        <f t="shared" si="24"/>
        <v xml:space="preserve"> </v>
      </c>
      <c r="AU164" s="116" t="str">
        <f t="shared" si="25"/>
        <v xml:space="preserve"> </v>
      </c>
      <c r="AV164" s="116" t="str">
        <f t="shared" si="25"/>
        <v xml:space="preserve"> </v>
      </c>
      <c r="AW164" s="116" t="str">
        <f t="shared" si="25"/>
        <v xml:space="preserve"> </v>
      </c>
      <c r="AX164" s="116" t="str">
        <f t="shared" si="25"/>
        <v xml:space="preserve"> </v>
      </c>
      <c r="AY164" s="116" t="str">
        <f t="shared" si="25"/>
        <v xml:space="preserve"> </v>
      </c>
      <c r="AZ164" s="116" t="str">
        <f t="shared" si="25"/>
        <v xml:space="preserve"> </v>
      </c>
      <c r="BA164" s="116" t="str">
        <f t="shared" si="25"/>
        <v xml:space="preserve"> </v>
      </c>
      <c r="BB164" s="116" t="str">
        <f t="shared" si="25"/>
        <v xml:space="preserve"> </v>
      </c>
      <c r="BC164" s="116" t="str">
        <f t="shared" si="25"/>
        <v xml:space="preserve"> </v>
      </c>
      <c r="BD164" s="116" t="str">
        <f t="shared" si="25"/>
        <v xml:space="preserve"> </v>
      </c>
    </row>
    <row r="165" spans="2:56" ht="27" customHeight="1" x14ac:dyDescent="0.55000000000000004">
      <c r="B165" s="33"/>
      <c r="C165" s="33"/>
      <c r="D165" s="104"/>
      <c r="E165" s="33"/>
      <c r="F165" s="105"/>
      <c r="G165" s="117" t="s">
        <v>911</v>
      </c>
      <c r="H165" s="115">
        <f t="shared" si="21"/>
        <v>10</v>
      </c>
      <c r="I165" s="180" t="str">
        <f t="shared" si="26"/>
        <v xml:space="preserve">                    </v>
      </c>
      <c r="J165" s="181"/>
      <c r="K165" s="181"/>
      <c r="L165" s="182"/>
      <c r="M165" s="173" t="str">
        <f t="shared" si="28"/>
        <v xml:space="preserve">867 978 1023 1027 1035 1044 1049 1050 1051 1055           </v>
      </c>
      <c r="N165" s="174"/>
      <c r="O165" s="116"/>
      <c r="P165" s="116" t="str">
        <f t="shared" si="22"/>
        <v xml:space="preserve"> </v>
      </c>
      <c r="Q165" s="116" t="str">
        <f t="shared" si="22"/>
        <v xml:space="preserve"> </v>
      </c>
      <c r="R165" s="116" t="str">
        <f t="shared" si="22"/>
        <v xml:space="preserve"> </v>
      </c>
      <c r="S165" s="116" t="str">
        <f t="shared" si="22"/>
        <v xml:space="preserve"> </v>
      </c>
      <c r="T165" s="116" t="str">
        <f t="shared" si="22"/>
        <v xml:space="preserve"> </v>
      </c>
      <c r="U165" s="116" t="str">
        <f t="shared" si="22"/>
        <v xml:space="preserve"> </v>
      </c>
      <c r="V165" s="116" t="str">
        <f t="shared" si="22"/>
        <v xml:space="preserve"> </v>
      </c>
      <c r="W165" s="116" t="str">
        <f t="shared" si="22"/>
        <v xml:space="preserve"> </v>
      </c>
      <c r="X165" s="116" t="str">
        <f t="shared" si="22"/>
        <v xml:space="preserve"> </v>
      </c>
      <c r="Y165" s="116" t="str">
        <f t="shared" si="22"/>
        <v xml:space="preserve"> </v>
      </c>
      <c r="Z165" s="116" t="str">
        <f t="shared" si="23"/>
        <v xml:space="preserve"> </v>
      </c>
      <c r="AA165" s="116" t="str">
        <f t="shared" si="23"/>
        <v xml:space="preserve"> </v>
      </c>
      <c r="AB165" s="116" t="str">
        <f t="shared" si="23"/>
        <v xml:space="preserve"> </v>
      </c>
      <c r="AC165" s="116" t="str">
        <f t="shared" si="23"/>
        <v xml:space="preserve"> </v>
      </c>
      <c r="AD165" s="116" t="str">
        <f t="shared" si="23"/>
        <v xml:space="preserve"> </v>
      </c>
      <c r="AE165" s="116" t="str">
        <f t="shared" si="23"/>
        <v xml:space="preserve"> </v>
      </c>
      <c r="AF165" s="116" t="str">
        <f t="shared" si="23"/>
        <v xml:space="preserve"> </v>
      </c>
      <c r="AG165" s="116" t="str">
        <f t="shared" si="23"/>
        <v xml:space="preserve"> </v>
      </c>
      <c r="AH165" s="116" t="str">
        <f t="shared" si="23"/>
        <v xml:space="preserve"> </v>
      </c>
      <c r="AI165" s="116" t="str">
        <f t="shared" si="23"/>
        <v xml:space="preserve"> </v>
      </c>
      <c r="AJ165" s="116"/>
      <c r="AK165" s="116" t="str">
        <f t="shared" si="24"/>
        <v xml:space="preserve">867 </v>
      </c>
      <c r="AL165" s="116" t="str">
        <f t="shared" si="24"/>
        <v xml:space="preserve">978 </v>
      </c>
      <c r="AM165" s="116" t="str">
        <f t="shared" si="24"/>
        <v xml:space="preserve">1023 </v>
      </c>
      <c r="AN165" s="116" t="str">
        <f t="shared" si="24"/>
        <v xml:space="preserve">1027 </v>
      </c>
      <c r="AO165" s="116" t="str">
        <f t="shared" si="24"/>
        <v xml:space="preserve">1035 </v>
      </c>
      <c r="AP165" s="116" t="str">
        <f t="shared" si="24"/>
        <v xml:space="preserve">1044 </v>
      </c>
      <c r="AQ165" s="116" t="str">
        <f t="shared" si="24"/>
        <v xml:space="preserve">1049 </v>
      </c>
      <c r="AR165" s="116" t="str">
        <f t="shared" si="24"/>
        <v xml:space="preserve">1050 </v>
      </c>
      <c r="AS165" s="116" t="str">
        <f t="shared" si="24"/>
        <v xml:space="preserve">1051 </v>
      </c>
      <c r="AT165" s="116" t="str">
        <f t="shared" si="24"/>
        <v xml:space="preserve">1055 </v>
      </c>
      <c r="AU165" s="116" t="str">
        <f t="shared" si="25"/>
        <v xml:space="preserve"> </v>
      </c>
      <c r="AV165" s="116" t="str">
        <f t="shared" si="25"/>
        <v xml:space="preserve"> </v>
      </c>
      <c r="AW165" s="116" t="str">
        <f t="shared" si="25"/>
        <v xml:space="preserve"> </v>
      </c>
      <c r="AX165" s="116" t="str">
        <f t="shared" si="25"/>
        <v xml:space="preserve"> </v>
      </c>
      <c r="AY165" s="116" t="str">
        <f t="shared" si="25"/>
        <v xml:space="preserve"> </v>
      </c>
      <c r="AZ165" s="116" t="str">
        <f t="shared" si="25"/>
        <v xml:space="preserve"> </v>
      </c>
      <c r="BA165" s="116" t="str">
        <f t="shared" si="25"/>
        <v xml:space="preserve"> </v>
      </c>
      <c r="BB165" s="116" t="str">
        <f t="shared" si="25"/>
        <v xml:space="preserve"> </v>
      </c>
      <c r="BC165" s="116" t="str">
        <f t="shared" si="25"/>
        <v xml:space="preserve"> </v>
      </c>
      <c r="BD165" s="116" t="str">
        <f t="shared" si="25"/>
        <v xml:space="preserve"> </v>
      </c>
    </row>
    <row r="166" spans="2:56" ht="27" customHeight="1" x14ac:dyDescent="0.55000000000000004">
      <c r="B166" s="33"/>
      <c r="C166" s="33"/>
      <c r="D166" s="104"/>
      <c r="E166" s="33"/>
      <c r="F166" s="105"/>
      <c r="G166" s="117" t="s">
        <v>928</v>
      </c>
      <c r="H166" s="118">
        <f t="shared" si="21"/>
        <v>2</v>
      </c>
      <c r="I166" s="180" t="str">
        <f t="shared" si="26"/>
        <v xml:space="preserve">                    </v>
      </c>
      <c r="J166" s="181"/>
      <c r="K166" s="181"/>
      <c r="L166" s="182"/>
      <c r="M166" s="173" t="str">
        <f t="shared" si="28"/>
        <v xml:space="preserve">860 1062                   </v>
      </c>
      <c r="N166" s="174"/>
      <c r="O166" s="116"/>
      <c r="P166" s="116" t="str">
        <f t="shared" si="22"/>
        <v xml:space="preserve"> </v>
      </c>
      <c r="Q166" s="116" t="str">
        <f t="shared" si="22"/>
        <v xml:space="preserve"> </v>
      </c>
      <c r="R166" s="116" t="str">
        <f t="shared" si="22"/>
        <v xml:space="preserve"> </v>
      </c>
      <c r="S166" s="116" t="str">
        <f t="shared" si="22"/>
        <v xml:space="preserve"> </v>
      </c>
      <c r="T166" s="116" t="str">
        <f t="shared" si="22"/>
        <v xml:space="preserve"> </v>
      </c>
      <c r="U166" s="116" t="str">
        <f t="shared" si="22"/>
        <v xml:space="preserve"> </v>
      </c>
      <c r="V166" s="116" t="str">
        <f t="shared" si="22"/>
        <v xml:space="preserve"> </v>
      </c>
      <c r="W166" s="116" t="str">
        <f t="shared" si="22"/>
        <v xml:space="preserve"> </v>
      </c>
      <c r="X166" s="116" t="str">
        <f t="shared" si="22"/>
        <v xml:space="preserve"> </v>
      </c>
      <c r="Y166" s="116" t="str">
        <f t="shared" si="22"/>
        <v xml:space="preserve"> </v>
      </c>
      <c r="Z166" s="116" t="str">
        <f t="shared" si="23"/>
        <v xml:space="preserve"> </v>
      </c>
      <c r="AA166" s="116" t="str">
        <f t="shared" si="23"/>
        <v xml:space="preserve"> </v>
      </c>
      <c r="AB166" s="116" t="str">
        <f t="shared" si="23"/>
        <v xml:space="preserve"> </v>
      </c>
      <c r="AC166" s="116" t="str">
        <f t="shared" si="23"/>
        <v xml:space="preserve"> </v>
      </c>
      <c r="AD166" s="116" t="str">
        <f t="shared" si="23"/>
        <v xml:space="preserve"> </v>
      </c>
      <c r="AE166" s="116" t="str">
        <f t="shared" si="23"/>
        <v xml:space="preserve"> </v>
      </c>
      <c r="AF166" s="116" t="str">
        <f t="shared" si="23"/>
        <v xml:space="preserve"> </v>
      </c>
      <c r="AG166" s="116" t="str">
        <f t="shared" si="23"/>
        <v xml:space="preserve"> </v>
      </c>
      <c r="AH166" s="116" t="str">
        <f t="shared" si="23"/>
        <v xml:space="preserve"> </v>
      </c>
      <c r="AI166" s="116" t="str">
        <f t="shared" si="23"/>
        <v xml:space="preserve"> </v>
      </c>
      <c r="AJ166" s="116"/>
      <c r="AK166" s="116" t="str">
        <f t="shared" si="24"/>
        <v xml:space="preserve">860 </v>
      </c>
      <c r="AL166" s="116" t="str">
        <f t="shared" si="24"/>
        <v xml:space="preserve">1062 </v>
      </c>
      <c r="AM166" s="116" t="str">
        <f t="shared" si="24"/>
        <v xml:space="preserve"> </v>
      </c>
      <c r="AN166" s="116" t="str">
        <f t="shared" si="24"/>
        <v xml:space="preserve"> </v>
      </c>
      <c r="AO166" s="116" t="str">
        <f t="shared" si="24"/>
        <v xml:space="preserve"> </v>
      </c>
      <c r="AP166" s="116" t="str">
        <f t="shared" si="24"/>
        <v xml:space="preserve"> </v>
      </c>
      <c r="AQ166" s="116" t="str">
        <f t="shared" si="24"/>
        <v xml:space="preserve"> </v>
      </c>
      <c r="AR166" s="116" t="str">
        <f t="shared" si="24"/>
        <v xml:space="preserve"> </v>
      </c>
      <c r="AS166" s="116" t="str">
        <f t="shared" si="24"/>
        <v xml:space="preserve"> </v>
      </c>
      <c r="AT166" s="116" t="str">
        <f t="shared" si="24"/>
        <v xml:space="preserve"> </v>
      </c>
      <c r="AU166" s="116" t="str">
        <f t="shared" si="25"/>
        <v xml:space="preserve"> </v>
      </c>
      <c r="AV166" s="116" t="str">
        <f t="shared" si="25"/>
        <v xml:space="preserve"> </v>
      </c>
      <c r="AW166" s="116" t="str">
        <f t="shared" si="25"/>
        <v xml:space="preserve"> </v>
      </c>
      <c r="AX166" s="116" t="str">
        <f t="shared" si="25"/>
        <v xml:space="preserve"> </v>
      </c>
      <c r="AY166" s="116" t="str">
        <f t="shared" si="25"/>
        <v xml:space="preserve"> </v>
      </c>
      <c r="AZ166" s="116" t="str">
        <f t="shared" si="25"/>
        <v xml:space="preserve"> </v>
      </c>
      <c r="BA166" s="116" t="str">
        <f t="shared" si="25"/>
        <v xml:space="preserve"> </v>
      </c>
      <c r="BB166" s="116" t="str">
        <f t="shared" si="25"/>
        <v xml:space="preserve"> </v>
      </c>
      <c r="BC166" s="116" t="str">
        <f t="shared" si="25"/>
        <v xml:space="preserve"> </v>
      </c>
      <c r="BD166" s="116" t="str">
        <f t="shared" si="25"/>
        <v xml:space="preserve"> </v>
      </c>
    </row>
    <row r="167" spans="2:56" ht="27" customHeight="1" thickBot="1" x14ac:dyDescent="0.6">
      <c r="B167" s="33"/>
      <c r="C167" s="33"/>
      <c r="D167" s="104"/>
      <c r="E167" s="33"/>
      <c r="F167" s="105"/>
      <c r="G167" s="102" t="s">
        <v>897</v>
      </c>
      <c r="H167" s="103">
        <f>SUM(H155:H166)</f>
        <v>33</v>
      </c>
      <c r="I167" s="122"/>
      <c r="J167" s="123"/>
      <c r="K167" s="123"/>
      <c r="L167" s="123"/>
      <c r="M167" s="124"/>
      <c r="N167" s="125"/>
      <c r="O167" s="46"/>
      <c r="P167" s="24" t="str">
        <f t="shared" si="22"/>
        <v xml:space="preserve"> </v>
      </c>
      <c r="Q167" s="24" t="str">
        <f t="shared" si="22"/>
        <v xml:space="preserve"> </v>
      </c>
      <c r="R167" s="24" t="str">
        <f t="shared" si="22"/>
        <v xml:space="preserve"> </v>
      </c>
      <c r="S167" s="24" t="str">
        <f t="shared" si="22"/>
        <v xml:space="preserve"> </v>
      </c>
      <c r="T167" s="24" t="str">
        <f t="shared" si="22"/>
        <v xml:space="preserve"> </v>
      </c>
      <c r="U167" s="24" t="str">
        <f t="shared" si="22"/>
        <v xml:space="preserve"> </v>
      </c>
      <c r="V167" s="24" t="str">
        <f t="shared" si="22"/>
        <v xml:space="preserve"> </v>
      </c>
      <c r="W167" s="24" t="str">
        <f t="shared" si="22"/>
        <v xml:space="preserve"> </v>
      </c>
      <c r="X167" s="24" t="str">
        <f t="shared" si="22"/>
        <v xml:space="preserve"> </v>
      </c>
      <c r="Y167" s="24" t="str">
        <f t="shared" si="22"/>
        <v xml:space="preserve"> </v>
      </c>
      <c r="Z167" s="24" t="str">
        <f t="shared" si="23"/>
        <v xml:space="preserve"> </v>
      </c>
      <c r="AA167" s="24" t="str">
        <f t="shared" si="23"/>
        <v xml:space="preserve"> </v>
      </c>
      <c r="AB167" s="24" t="str">
        <f t="shared" si="23"/>
        <v xml:space="preserve"> </v>
      </c>
      <c r="AC167" s="24" t="str">
        <f t="shared" si="23"/>
        <v xml:space="preserve"> </v>
      </c>
      <c r="AD167" s="24" t="str">
        <f t="shared" si="23"/>
        <v xml:space="preserve"> </v>
      </c>
      <c r="AE167" s="24" t="str">
        <f t="shared" si="23"/>
        <v xml:space="preserve"> </v>
      </c>
      <c r="AF167" s="24" t="str">
        <f t="shared" si="23"/>
        <v xml:space="preserve"> </v>
      </c>
      <c r="AG167" s="24" t="str">
        <f t="shared" si="23"/>
        <v xml:space="preserve"> </v>
      </c>
      <c r="AH167" s="24" t="str">
        <f t="shared" si="23"/>
        <v xml:space="preserve"> </v>
      </c>
      <c r="AI167" s="24" t="str">
        <f t="shared" si="23"/>
        <v xml:space="preserve"> </v>
      </c>
    </row>
    <row r="179" spans="7:7" x14ac:dyDescent="0.55000000000000004">
      <c r="G179"/>
    </row>
    <row r="180" spans="7:7" x14ac:dyDescent="0.55000000000000004">
      <c r="G180"/>
    </row>
    <row r="181" spans="7:7" x14ac:dyDescent="0.55000000000000004">
      <c r="G181"/>
    </row>
    <row r="182" spans="7:7" x14ac:dyDescent="0.55000000000000004">
      <c r="G182"/>
    </row>
    <row r="183" spans="7:7" x14ac:dyDescent="0.55000000000000004">
      <c r="G183"/>
    </row>
    <row r="184" spans="7:7" x14ac:dyDescent="0.55000000000000004">
      <c r="G184"/>
    </row>
    <row r="185" spans="7:7" x14ac:dyDescent="0.55000000000000004">
      <c r="G185"/>
    </row>
    <row r="186" spans="7:7" x14ac:dyDescent="0.55000000000000004">
      <c r="G186"/>
    </row>
    <row r="187" spans="7:7" x14ac:dyDescent="0.55000000000000004">
      <c r="G187"/>
    </row>
    <row r="188" spans="7:7" x14ac:dyDescent="0.55000000000000004">
      <c r="G188"/>
    </row>
    <row r="189" spans="7:7" x14ac:dyDescent="0.55000000000000004">
      <c r="G189"/>
    </row>
    <row r="190" spans="7:7" x14ac:dyDescent="0.55000000000000004">
      <c r="G190"/>
    </row>
    <row r="191" spans="7:7" x14ac:dyDescent="0.55000000000000004">
      <c r="G191"/>
    </row>
    <row r="192" spans="7:7" x14ac:dyDescent="0.55000000000000004">
      <c r="G192"/>
    </row>
    <row r="193" spans="7:7" x14ac:dyDescent="0.55000000000000004">
      <c r="G193"/>
    </row>
    <row r="194" spans="7:7" x14ac:dyDescent="0.55000000000000004">
      <c r="G194"/>
    </row>
    <row r="195" spans="7:7" x14ac:dyDescent="0.55000000000000004">
      <c r="G195"/>
    </row>
    <row r="196" spans="7:7" x14ac:dyDescent="0.55000000000000004">
      <c r="G196"/>
    </row>
    <row r="197" spans="7:7" x14ac:dyDescent="0.55000000000000004">
      <c r="G197"/>
    </row>
    <row r="198" spans="7:7" x14ac:dyDescent="0.55000000000000004">
      <c r="G198"/>
    </row>
    <row r="199" spans="7:7" x14ac:dyDescent="0.55000000000000004">
      <c r="G199"/>
    </row>
    <row r="200" spans="7:7" x14ac:dyDescent="0.55000000000000004">
      <c r="G200"/>
    </row>
    <row r="201" spans="7:7" x14ac:dyDescent="0.55000000000000004">
      <c r="G201"/>
    </row>
    <row r="202" spans="7:7" x14ac:dyDescent="0.55000000000000004">
      <c r="G202"/>
    </row>
    <row r="203" spans="7:7" x14ac:dyDescent="0.55000000000000004">
      <c r="G203"/>
    </row>
    <row r="204" spans="7:7" x14ac:dyDescent="0.55000000000000004">
      <c r="G204"/>
    </row>
    <row r="205" spans="7:7" x14ac:dyDescent="0.55000000000000004">
      <c r="G205"/>
    </row>
    <row r="206" spans="7:7" x14ac:dyDescent="0.55000000000000004">
      <c r="G206"/>
    </row>
    <row r="207" spans="7:7" x14ac:dyDescent="0.55000000000000004">
      <c r="G207"/>
    </row>
    <row r="208" spans="7:7" x14ac:dyDescent="0.55000000000000004">
      <c r="G208"/>
    </row>
    <row r="209" spans="7:7" x14ac:dyDescent="0.55000000000000004">
      <c r="G209"/>
    </row>
    <row r="210" spans="7:7" x14ac:dyDescent="0.55000000000000004">
      <c r="G210"/>
    </row>
    <row r="211" spans="7:7" x14ac:dyDescent="0.55000000000000004">
      <c r="G211"/>
    </row>
    <row r="212" spans="7:7" x14ac:dyDescent="0.55000000000000004">
      <c r="G212"/>
    </row>
    <row r="213" spans="7:7" x14ac:dyDescent="0.55000000000000004">
      <c r="G213"/>
    </row>
    <row r="214" spans="7:7" x14ac:dyDescent="0.55000000000000004">
      <c r="G214"/>
    </row>
    <row r="215" spans="7:7" x14ac:dyDescent="0.55000000000000004">
      <c r="G215"/>
    </row>
    <row r="216" spans="7:7" x14ac:dyDescent="0.55000000000000004">
      <c r="G216"/>
    </row>
    <row r="217" spans="7:7" x14ac:dyDescent="0.55000000000000004">
      <c r="G217"/>
    </row>
    <row r="218" spans="7:7" x14ac:dyDescent="0.55000000000000004">
      <c r="G218"/>
    </row>
    <row r="219" spans="7:7" x14ac:dyDescent="0.55000000000000004">
      <c r="G219"/>
    </row>
    <row r="220" spans="7:7" x14ac:dyDescent="0.55000000000000004">
      <c r="G220"/>
    </row>
    <row r="221" spans="7:7" x14ac:dyDescent="0.55000000000000004">
      <c r="G221"/>
    </row>
    <row r="222" spans="7:7" x14ac:dyDescent="0.55000000000000004">
      <c r="G222"/>
    </row>
    <row r="223" spans="7:7" x14ac:dyDescent="0.55000000000000004">
      <c r="G223"/>
    </row>
    <row r="224" spans="7:7" x14ac:dyDescent="0.55000000000000004">
      <c r="G224"/>
    </row>
    <row r="225" spans="7:7" x14ac:dyDescent="0.55000000000000004">
      <c r="G225"/>
    </row>
    <row r="226" spans="7:7" x14ac:dyDescent="0.55000000000000004">
      <c r="G226"/>
    </row>
    <row r="227" spans="7:7" x14ac:dyDescent="0.55000000000000004">
      <c r="G227"/>
    </row>
    <row r="228" spans="7:7" x14ac:dyDescent="0.55000000000000004">
      <c r="G228"/>
    </row>
    <row r="229" spans="7:7" x14ac:dyDescent="0.55000000000000004">
      <c r="G229"/>
    </row>
    <row r="230" spans="7:7" x14ac:dyDescent="0.55000000000000004">
      <c r="G230"/>
    </row>
    <row r="231" spans="7:7" x14ac:dyDescent="0.55000000000000004">
      <c r="G231"/>
    </row>
    <row r="232" spans="7:7" x14ac:dyDescent="0.55000000000000004">
      <c r="G232"/>
    </row>
    <row r="233" spans="7:7" x14ac:dyDescent="0.55000000000000004">
      <c r="G233"/>
    </row>
  </sheetData>
  <sheetProtection sheet="1" formatCells="0" formatColumns="0" formatRows="0" autoFilter="0"/>
  <autoFilter ref="B3:N150" xr:uid="{00000000-0009-0000-0000-000002000000}">
    <filterColumn colId="0">
      <customFilters>
        <customFilter operator="notEqual" val=" "/>
      </customFilters>
    </filterColumn>
    <filterColumn colId="6" showButton="0"/>
  </autoFilter>
  <mergeCells count="21">
    <mergeCell ref="I166:L166"/>
    <mergeCell ref="I163:L163"/>
    <mergeCell ref="I164:L164"/>
    <mergeCell ref="I165:L165"/>
    <mergeCell ref="I160:L160"/>
    <mergeCell ref="M160:N160"/>
    <mergeCell ref="I161:L161"/>
    <mergeCell ref="I162:L162"/>
    <mergeCell ref="I157:L157"/>
    <mergeCell ref="M157:N157"/>
    <mergeCell ref="I158:L158"/>
    <mergeCell ref="M158:N158"/>
    <mergeCell ref="I159:L159"/>
    <mergeCell ref="M159:N159"/>
    <mergeCell ref="H3:I3"/>
    <mergeCell ref="B1:N1"/>
    <mergeCell ref="I155:L155"/>
    <mergeCell ref="M155:N155"/>
    <mergeCell ref="I156:L156"/>
    <mergeCell ref="M156:N156"/>
    <mergeCell ref="N4:N150"/>
  </mergeCells>
  <conditionalFormatting sqref="C153:C154 C157">
    <cfRule type="expression" dxfId="3" priority="51">
      <formula>ISNUMBER(K153)</formula>
    </cfRule>
    <cfRule type="iconSet" priority="52">
      <iconSet iconSet="3Symbols2" reverse="1">
        <cfvo type="percent" val="0"/>
        <cfvo type="num" val="TODAY()-60"/>
        <cfvo type="num" val="TODAY()-60" gte="0"/>
      </iconSet>
    </cfRule>
  </conditionalFormatting>
  <conditionalFormatting sqref="C156">
    <cfRule type="expression" dxfId="2" priority="53">
      <formula>ISNUMBER(K155)</formula>
    </cfRule>
    <cfRule type="iconSet" priority="54">
      <iconSet iconSet="3Symbols2" reverse="1">
        <cfvo type="percent" val="0"/>
        <cfvo type="num" val="TODAY()-60"/>
        <cfvo type="num" val="TODAY()-60" gte="0"/>
      </iconSet>
    </cfRule>
  </conditionalFormatting>
  <conditionalFormatting sqref="D4:D152">
    <cfRule type="expression" dxfId="1" priority="1">
      <formula>ISNUMBER(K4)</formula>
    </cfRule>
  </conditionalFormatting>
  <conditionalFormatting sqref="D28:D135">
    <cfRule type="iconSet" priority="61">
      <iconSet iconSet="3Symbols2" reverse="1">
        <cfvo type="percent" val="0"/>
        <cfvo type="num" val="TODAY()-60"/>
        <cfvo type="num" val="TODAY()-60" gte="0"/>
      </iconSet>
    </cfRule>
  </conditionalFormatting>
  <conditionalFormatting sqref="D136:D150">
    <cfRule type="iconSet" priority="2">
      <iconSet iconSet="3Symbols2" reverse="1">
        <cfvo type="percent" val="0"/>
        <cfvo type="num" val="TODAY()-60"/>
        <cfvo type="num" val="TODAY()-60" gte="0"/>
      </iconSet>
    </cfRule>
  </conditionalFormatting>
  <conditionalFormatting sqref="D151">
    <cfRule type="iconSet" priority="4">
      <iconSet iconSet="3Symbols2" reverse="1">
        <cfvo type="percent" val="0"/>
        <cfvo type="num" val="TODAY()-60"/>
        <cfvo type="num" val="TODAY()-60" gte="0"/>
      </iconSet>
    </cfRule>
  </conditionalFormatting>
  <conditionalFormatting sqref="D158:D167 D4:D27 D152">
    <cfRule type="iconSet" priority="38">
      <iconSet iconSet="3Symbols2" reverse="1">
        <cfvo type="percent" val="0"/>
        <cfvo type="num" val="TODAY()-60"/>
        <cfvo type="num" val="TODAY()-60" gte="0"/>
      </iconSet>
    </cfRule>
  </conditionalFormatting>
  <conditionalFormatting sqref="D158:D167">
    <cfRule type="expression" dxfId="0" priority="37">
      <formula>ISNUMBER(K158)</formula>
    </cfRule>
  </conditionalFormatting>
  <pageMargins left="0.23622047244094491" right="0.23622047244094491" top="0.35433070866141736" bottom="0.35433070866141736" header="0.31496062992125984" footer="0.31496062992125984"/>
  <pageSetup paperSize="9" scale="73" fitToHeight="4" orientation="landscape" r:id="rId1"/>
  <rowBreaks count="2" manualBreakCount="2">
    <brk id="35" min="1" max="13" man="1"/>
    <brk id="69" min="1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23"/>
  <sheetViews>
    <sheetView workbookViewId="0">
      <selection activeCell="B7" sqref="B7"/>
    </sheetView>
  </sheetViews>
  <sheetFormatPr defaultRowHeight="14.4" x14ac:dyDescent="0.55000000000000004"/>
  <cols>
    <col min="1" max="1" width="23.578125" bestFit="1" customWidth="1"/>
    <col min="2" max="2" width="18.578125" bestFit="1" customWidth="1"/>
    <col min="3" max="3" width="22.15625" bestFit="1" customWidth="1"/>
  </cols>
  <sheetData>
    <row r="3" spans="1:3" x14ac:dyDescent="0.55000000000000004">
      <c r="A3" s="158" t="s">
        <v>1143</v>
      </c>
      <c r="B3" t="s">
        <v>1145</v>
      </c>
      <c r="C3" t="s">
        <v>1146</v>
      </c>
    </row>
    <row r="4" spans="1:3" x14ac:dyDescent="0.55000000000000004">
      <c r="A4" s="159" t="s">
        <v>965</v>
      </c>
      <c r="B4" s="171"/>
      <c r="C4">
        <v>266</v>
      </c>
    </row>
    <row r="5" spans="1:3" x14ac:dyDescent="0.55000000000000004">
      <c r="A5" s="159" t="s">
        <v>1087</v>
      </c>
      <c r="B5" s="171">
        <v>261051</v>
      </c>
      <c r="C5">
        <v>189</v>
      </c>
    </row>
    <row r="6" spans="1:3" x14ac:dyDescent="0.55000000000000004">
      <c r="A6" s="159" t="s">
        <v>851</v>
      </c>
      <c r="B6" s="171">
        <v>163407</v>
      </c>
      <c r="C6">
        <v>164</v>
      </c>
    </row>
    <row r="7" spans="1:3" x14ac:dyDescent="0.55000000000000004">
      <c r="A7" s="159" t="s">
        <v>930</v>
      </c>
      <c r="B7" s="171">
        <v>121324</v>
      </c>
      <c r="C7">
        <v>64</v>
      </c>
    </row>
    <row r="8" spans="1:3" x14ac:dyDescent="0.55000000000000004">
      <c r="A8" s="159" t="s">
        <v>837</v>
      </c>
      <c r="B8" s="171">
        <v>56626</v>
      </c>
      <c r="C8">
        <v>58</v>
      </c>
    </row>
    <row r="9" spans="1:3" x14ac:dyDescent="0.55000000000000004">
      <c r="A9" s="159" t="s">
        <v>836</v>
      </c>
      <c r="B9" s="171">
        <v>40344</v>
      </c>
      <c r="C9">
        <v>41</v>
      </c>
    </row>
    <row r="10" spans="1:3" x14ac:dyDescent="0.55000000000000004">
      <c r="A10" s="159" t="s">
        <v>967</v>
      </c>
      <c r="B10" s="171">
        <v>83151</v>
      </c>
      <c r="C10">
        <v>39</v>
      </c>
    </row>
    <row r="11" spans="1:3" x14ac:dyDescent="0.55000000000000004">
      <c r="A11" s="159" t="s">
        <v>1157</v>
      </c>
      <c r="B11" s="171">
        <v>0</v>
      </c>
      <c r="C11">
        <v>37</v>
      </c>
    </row>
    <row r="12" spans="1:3" x14ac:dyDescent="0.55000000000000004">
      <c r="A12" s="159" t="s">
        <v>912</v>
      </c>
      <c r="B12" s="171">
        <v>66664</v>
      </c>
      <c r="C12">
        <v>26</v>
      </c>
    </row>
    <row r="13" spans="1:3" x14ac:dyDescent="0.55000000000000004">
      <c r="A13" s="159" t="s">
        <v>929</v>
      </c>
      <c r="B13" s="171">
        <v>57675</v>
      </c>
      <c r="C13">
        <v>25</v>
      </c>
    </row>
    <row r="14" spans="1:3" x14ac:dyDescent="0.55000000000000004">
      <c r="A14" s="159" t="s">
        <v>1152</v>
      </c>
      <c r="B14" s="171">
        <v>43146</v>
      </c>
      <c r="C14">
        <v>18</v>
      </c>
    </row>
    <row r="15" spans="1:3" x14ac:dyDescent="0.55000000000000004">
      <c r="A15" s="159" t="s">
        <v>1088</v>
      </c>
      <c r="B15" s="171">
        <v>4698</v>
      </c>
      <c r="C15">
        <v>3</v>
      </c>
    </row>
    <row r="16" spans="1:3" x14ac:dyDescent="0.55000000000000004">
      <c r="A16" s="159" t="s">
        <v>1159</v>
      </c>
      <c r="B16" s="171">
        <v>800</v>
      </c>
      <c r="C16">
        <v>2</v>
      </c>
    </row>
    <row r="17" spans="1:3" x14ac:dyDescent="0.55000000000000004">
      <c r="A17" s="159" t="s">
        <v>1165</v>
      </c>
      <c r="B17" s="171"/>
      <c r="C17">
        <v>2</v>
      </c>
    </row>
    <row r="18" spans="1:3" x14ac:dyDescent="0.55000000000000004">
      <c r="A18" s="159" t="s">
        <v>966</v>
      </c>
      <c r="B18" s="171">
        <v>5119</v>
      </c>
      <c r="C18">
        <v>2</v>
      </c>
    </row>
    <row r="19" spans="1:3" x14ac:dyDescent="0.55000000000000004">
      <c r="A19" s="159" t="s">
        <v>1158</v>
      </c>
      <c r="B19" s="171">
        <v>0</v>
      </c>
      <c r="C19">
        <v>2</v>
      </c>
    </row>
    <row r="20" spans="1:3" x14ac:dyDescent="0.55000000000000004">
      <c r="A20" s="159" t="s">
        <v>1167</v>
      </c>
      <c r="B20" s="171">
        <v>3900</v>
      </c>
      <c r="C20">
        <v>1</v>
      </c>
    </row>
    <row r="21" spans="1:3" x14ac:dyDescent="0.55000000000000004">
      <c r="A21" s="159" t="s">
        <v>899</v>
      </c>
      <c r="B21" s="171">
        <v>1250</v>
      </c>
      <c r="C21">
        <v>1</v>
      </c>
    </row>
    <row r="22" spans="1:3" x14ac:dyDescent="0.55000000000000004">
      <c r="A22" s="159" t="s">
        <v>1166</v>
      </c>
      <c r="B22" s="171"/>
      <c r="C22">
        <v>1</v>
      </c>
    </row>
    <row r="23" spans="1:3" x14ac:dyDescent="0.55000000000000004">
      <c r="A23" s="159" t="s">
        <v>1144</v>
      </c>
      <c r="B23" s="171">
        <v>909155</v>
      </c>
      <c r="C23">
        <v>941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I10" sqref="I10"/>
    </sheetView>
  </sheetViews>
  <sheetFormatPr defaultRowHeight="14.4" x14ac:dyDescent="0.55000000000000004"/>
  <cols>
    <col min="1" max="1" width="17.15625" style="41" customWidth="1"/>
    <col min="2" max="2" width="11.83984375" style="43" customWidth="1"/>
    <col min="3" max="3" width="14.41796875" style="41" bestFit="1" customWidth="1"/>
    <col min="4" max="4" width="11.41796875" bestFit="1" customWidth="1"/>
  </cols>
  <sheetData>
    <row r="1" spans="1:6" x14ac:dyDescent="0.55000000000000004">
      <c r="A1" s="41" t="s">
        <v>859</v>
      </c>
      <c r="B1" s="43" t="s">
        <v>860</v>
      </c>
      <c r="C1" s="41" t="s">
        <v>861</v>
      </c>
      <c r="D1" t="s">
        <v>862</v>
      </c>
      <c r="E1" t="s">
        <v>863</v>
      </c>
      <c r="F1" s="41"/>
    </row>
    <row r="2" spans="1:6" x14ac:dyDescent="0.55000000000000004">
      <c r="A2" s="45">
        <v>2885</v>
      </c>
      <c r="B2" s="43">
        <v>41913</v>
      </c>
      <c r="D2" s="42">
        <f>-FV($F$2,C2,0,A2)</f>
        <v>2885</v>
      </c>
      <c r="F2" s="44"/>
    </row>
    <row r="3" spans="1:6" x14ac:dyDescent="0.55000000000000004">
      <c r="A3" s="41">
        <v>1509</v>
      </c>
      <c r="B3" s="43">
        <v>43132</v>
      </c>
      <c r="C3" s="41">
        <f>+(B3-$B$2)/365*12</f>
        <v>40.076712328767123</v>
      </c>
      <c r="D3" s="42">
        <f>+A3+D2</f>
        <v>4394</v>
      </c>
      <c r="E3" s="44">
        <f>RATE(C3,0,-D2,D3)</f>
        <v>1.0553038826773099E-2</v>
      </c>
    </row>
    <row r="4" spans="1:6" x14ac:dyDescent="0.55000000000000004">
      <c r="A4" s="41">
        <v>1012</v>
      </c>
      <c r="B4" s="43">
        <v>43313</v>
      </c>
      <c r="C4" s="41">
        <f>+(B4-$B$2)/365*12</f>
        <v>46.027397260273972</v>
      </c>
      <c r="D4" s="42">
        <f>+D3+A4</f>
        <v>5406</v>
      </c>
      <c r="E4" s="44">
        <f>RATE(C4,0,-D2,D4)</f>
        <v>1.3737212087078158E-2</v>
      </c>
    </row>
    <row r="5" spans="1:6" x14ac:dyDescent="0.55000000000000004">
      <c r="A5" s="41">
        <v>2045</v>
      </c>
      <c r="B5" s="43">
        <v>44378</v>
      </c>
      <c r="C5" s="41">
        <f>+(B5-$B$2)/365*12</f>
        <v>81.041095890410958</v>
      </c>
      <c r="D5" s="42">
        <f>+D4+A5</f>
        <v>7451</v>
      </c>
      <c r="E5" s="44">
        <f>RATE(C5,0,-D3,D5)</f>
        <v>6.5378279670407595E-3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Crias</vt:lpstr>
      <vt:lpstr>Matrizes</vt:lpstr>
      <vt:lpstr>Desempenho</vt:lpstr>
      <vt:lpstr>Compradores</vt:lpstr>
      <vt:lpstr>Plan1</vt:lpstr>
      <vt:lpstr>Desempenho!Area_de_impressao</vt:lpstr>
      <vt:lpstr>Matrizes!Area_de_impressao</vt:lpstr>
      <vt:lpstr>Desempenho!Titulos_de_impressao</vt:lpstr>
      <vt:lpstr>Matrizes!Titulos_de_impressao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Maíra Cirne de Genario</dc:creator>
  <cp:lastModifiedBy>Fabio De Lima Lemos</cp:lastModifiedBy>
  <cp:lastPrinted>2025-05-04T14:26:47Z</cp:lastPrinted>
  <dcterms:created xsi:type="dcterms:W3CDTF">2015-07-13T20:01:59Z</dcterms:created>
  <dcterms:modified xsi:type="dcterms:W3CDTF">2026-05-12T13:06:36Z</dcterms:modified>
</cp:coreProperties>
</file>